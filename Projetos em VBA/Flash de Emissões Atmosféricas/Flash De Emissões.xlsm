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filterPrivacy="1" codeName="ThisWorkbook" defaultThemeVersion="124226"/>
  <xr:revisionPtr revIDLastSave="0" documentId="13_ncr:1_{F92EE18E-BC1E-4942-AA8C-8D871ACBE732}" xr6:coauthVersionLast="47" xr6:coauthVersionMax="47" xr10:uidLastSave="{00000000-0000-0000-0000-000000000000}"/>
  <bookViews>
    <workbookView xWindow="-120" yWindow="-120" windowWidth="20730" windowHeight="11160" firstSheet="4" activeTab="4" xr2:uid="{00000000-000D-0000-FFFF-FFFF00000000}"/>
  </bookViews>
  <sheets>
    <sheet name="Dashboard Emissões" sheetId="1" r:id="rId1"/>
    <sheet name="Dashboard SO3" sheetId="10" r:id="rId2"/>
    <sheet name="SO3" sheetId="9" state="hidden" r:id="rId3"/>
    <sheet name="Aux Graficos" sheetId="8" state="hidden" r:id="rId4"/>
    <sheet name="Flash" sheetId="6" r:id="rId5"/>
    <sheet name="Aux Anual" sheetId="11" state="hidden" r:id="rId6"/>
    <sheet name="Base de Dados" sheetId="5" r:id="rId7"/>
    <sheet name="Base Média Dia" sheetId="2" r:id="rId8"/>
    <sheet name="Base Média Mes" sheetId="3" r:id="rId9"/>
    <sheet name="Base Média Ano" sheetId="4" r:id="rId10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6" l="1"/>
  <c r="F10" i="6"/>
  <c r="I17" i="6" l="1"/>
  <c r="I16" i="6"/>
  <c r="I14" i="6"/>
  <c r="I11" i="6"/>
  <c r="I10" i="6"/>
  <c r="F14" i="6" l="1"/>
  <c r="F8" i="6" s="1"/>
  <c r="E28" i="6" l="1"/>
  <c r="E27" i="6"/>
  <c r="D141" i="8" l="1"/>
  <c r="D142" i="8" l="1"/>
  <c r="D138" i="8"/>
  <c r="D2" i="9" a="1"/>
  <c r="E11" i="9" l="1"/>
  <c r="E42" i="9"/>
  <c r="D35" i="9"/>
  <c r="D28" i="9"/>
  <c r="D65" i="9"/>
  <c r="E70" i="9"/>
  <c r="D43" i="9"/>
  <c r="E16" i="9"/>
  <c r="E50" i="9"/>
  <c r="D10" i="9"/>
  <c r="E22" i="9"/>
  <c r="D8" i="9"/>
  <c r="D76" i="9"/>
  <c r="E21" i="9"/>
  <c r="E52" i="9"/>
  <c r="D55" i="9"/>
  <c r="D58" i="9"/>
  <c r="E15" i="9"/>
  <c r="D41" i="9"/>
  <c r="D53" i="9"/>
  <c r="E46" i="9"/>
  <c r="D11" i="9"/>
  <c r="D7" i="9"/>
  <c r="E82" i="9"/>
  <c r="D56" i="9"/>
  <c r="E63" i="9"/>
  <c r="E61" i="9"/>
  <c r="E75" i="9"/>
  <c r="E73" i="9"/>
  <c r="D16" i="9"/>
  <c r="E58" i="9"/>
  <c r="E81" i="9"/>
  <c r="E19" i="9"/>
  <c r="D34" i="9"/>
  <c r="D66" i="9"/>
  <c r="D69" i="9"/>
  <c r="D18" i="9"/>
  <c r="E23" i="9"/>
  <c r="D70" i="9"/>
  <c r="E9" i="9"/>
  <c r="D22" i="9"/>
  <c r="E30" i="9"/>
  <c r="E34" i="9"/>
  <c r="D32" i="9"/>
  <c r="E60" i="9"/>
  <c r="D30" i="9"/>
  <c r="D52" i="9"/>
  <c r="D21" i="9"/>
  <c r="D5" i="9"/>
  <c r="D37" i="9"/>
  <c r="D19" i="9"/>
  <c r="D45" i="9"/>
  <c r="D44" i="9"/>
  <c r="D42" i="9"/>
  <c r="E5" i="9"/>
  <c r="D82" i="9"/>
  <c r="D24" i="9"/>
  <c r="D64" i="9"/>
  <c r="D3" i="9"/>
  <c r="E65" i="9"/>
  <c r="E12" i="9"/>
  <c r="E24" i="9"/>
  <c r="D6" i="9"/>
  <c r="E74" i="9"/>
  <c r="D60" i="9"/>
  <c r="D50" i="9"/>
  <c r="D15" i="9"/>
  <c r="E40" i="9"/>
  <c r="E31" i="9"/>
  <c r="E62" i="9"/>
  <c r="D75" i="9"/>
  <c r="D78" i="9"/>
  <c r="E55" i="9"/>
  <c r="D71" i="9"/>
  <c r="D63" i="9"/>
  <c r="E66" i="9"/>
  <c r="D51" i="9"/>
  <c r="E7" i="9"/>
  <c r="D81" i="9"/>
  <c r="E51" i="9"/>
  <c r="E48" i="9"/>
  <c r="D9" i="9"/>
  <c r="E8" i="9"/>
  <c r="E71" i="9"/>
  <c r="D49" i="9"/>
  <c r="D4" i="9"/>
  <c r="E3" i="9"/>
  <c r="D29" i="9"/>
  <c r="D2" i="9"/>
  <c r="D40" i="9"/>
  <c r="D74" i="9"/>
  <c r="D12" i="9"/>
  <c r="E67" i="9"/>
  <c r="D68" i="9"/>
  <c r="E33" i="9"/>
  <c r="D38" i="9"/>
  <c r="E38" i="9"/>
  <c r="E56" i="9"/>
  <c r="E64" i="9"/>
  <c r="E83" i="9"/>
  <c r="E68" i="9"/>
  <c r="D39" i="9"/>
  <c r="D14" i="9"/>
  <c r="E20" i="9"/>
  <c r="D72" i="9"/>
  <c r="E35" i="9"/>
  <c r="E2" i="9"/>
  <c r="E27" i="9"/>
  <c r="E79" i="9"/>
  <c r="E44" i="9"/>
  <c r="D20" i="9"/>
  <c r="E54" i="9"/>
  <c r="D23" i="9"/>
  <c r="E32" i="9"/>
  <c r="D33" i="9"/>
  <c r="E41" i="9"/>
  <c r="E72" i="9"/>
  <c r="E25" i="9"/>
  <c r="E18" i="9"/>
  <c r="D26" i="9"/>
  <c r="E53" i="9"/>
  <c r="E45" i="9"/>
  <c r="D48" i="9"/>
  <c r="D47" i="9"/>
  <c r="D73" i="9"/>
  <c r="E26" i="9"/>
  <c r="D67" i="9"/>
  <c r="D83" i="9"/>
  <c r="E76" i="9"/>
  <c r="E17" i="9"/>
  <c r="D46" i="9"/>
  <c r="D27" i="9"/>
  <c r="E47" i="9"/>
  <c r="E13" i="9"/>
  <c r="E37" i="9"/>
  <c r="E6" i="9"/>
  <c r="E14" i="9"/>
  <c r="E36" i="9"/>
  <c r="E69" i="9"/>
  <c r="E43" i="9"/>
  <c r="E28" i="9"/>
  <c r="E78" i="9"/>
  <c r="D17" i="9"/>
  <c r="D80" i="9"/>
  <c r="D62" i="9"/>
  <c r="D61" i="9"/>
  <c r="D79" i="9"/>
  <c r="D57" i="9"/>
  <c r="D59" i="9"/>
  <c r="E80" i="9"/>
  <c r="E29" i="9"/>
  <c r="D54" i="9"/>
  <c r="D77" i="9"/>
  <c r="E39" i="9"/>
  <c r="D31" i="9"/>
  <c r="E49" i="9"/>
  <c r="E4" i="9"/>
  <c r="E59" i="9"/>
  <c r="E57" i="9"/>
  <c r="D13" i="9"/>
  <c r="E77" i="9"/>
  <c r="D36" i="9"/>
  <c r="D25" i="9"/>
  <c r="E10" i="9"/>
  <c r="H28" i="6"/>
  <c r="H27" i="6"/>
  <c r="G28" i="6"/>
  <c r="G27" i="6"/>
  <c r="H23" i="6"/>
  <c r="H22" i="6"/>
  <c r="F23" i="6"/>
  <c r="F22" i="6"/>
  <c r="E23" i="6"/>
  <c r="E22" i="6"/>
  <c r="H17" i="6"/>
  <c r="H16" i="6"/>
  <c r="G17" i="6"/>
  <c r="G16" i="6"/>
  <c r="F17" i="6"/>
  <c r="F16" i="6"/>
  <c r="E17" i="6"/>
  <c r="E16" i="6"/>
  <c r="J2" i="9" a="1"/>
  <c r="C5" i="9" a="1"/>
  <c r="I5" i="9" a="1"/>
  <c r="K11" i="9" l="1"/>
  <c r="K7" i="9"/>
  <c r="J52" i="9"/>
  <c r="K13" i="9"/>
  <c r="K54" i="9"/>
  <c r="J17" i="9"/>
  <c r="J10" i="9"/>
  <c r="K49" i="9"/>
  <c r="J50" i="9"/>
  <c r="K31" i="9"/>
  <c r="K47" i="9"/>
  <c r="J72" i="9"/>
  <c r="K33" i="9"/>
  <c r="K74" i="9"/>
  <c r="J37" i="9"/>
  <c r="K10" i="9"/>
  <c r="K50" i="9"/>
  <c r="K41" i="9"/>
  <c r="K2" i="9"/>
  <c r="K43" i="9"/>
  <c r="J5" i="9"/>
  <c r="J61" i="9"/>
  <c r="J51" i="9"/>
  <c r="K51" i="9"/>
  <c r="K12" i="9"/>
  <c r="J15" i="9"/>
  <c r="J67" i="9"/>
  <c r="J11" i="9"/>
  <c r="K61" i="9"/>
  <c r="K63" i="9"/>
  <c r="J25" i="9"/>
  <c r="K17" i="9"/>
  <c r="J60" i="9"/>
  <c r="J58" i="9"/>
  <c r="K73" i="9"/>
  <c r="K37" i="9"/>
  <c r="K18" i="9"/>
  <c r="J4" i="9"/>
  <c r="K57" i="9"/>
  <c r="K15" i="9"/>
  <c r="J14" i="9"/>
  <c r="J8" i="9"/>
  <c r="K62" i="9"/>
  <c r="K21" i="9"/>
  <c r="K27" i="9"/>
  <c r="J62" i="9"/>
  <c r="K23" i="9"/>
  <c r="K64" i="9"/>
  <c r="J27" i="9"/>
  <c r="K60" i="9"/>
  <c r="K67" i="9"/>
  <c r="J57" i="9"/>
  <c r="J18" i="9"/>
  <c r="K53" i="9"/>
  <c r="K59" i="9"/>
  <c r="K22" i="9"/>
  <c r="K69" i="9"/>
  <c r="K71" i="9"/>
  <c r="J35" i="9"/>
  <c r="K42" i="9"/>
  <c r="J70" i="9"/>
  <c r="K38" i="9"/>
  <c r="K20" i="9"/>
  <c r="K35" i="9"/>
  <c r="J38" i="9"/>
  <c r="K32" i="9"/>
  <c r="J20" i="9"/>
  <c r="J65" i="9"/>
  <c r="J45" i="9"/>
  <c r="K52" i="9"/>
  <c r="J55" i="9"/>
  <c r="K68" i="9"/>
  <c r="K5" i="9"/>
  <c r="J24" i="9"/>
  <c r="K55" i="9"/>
  <c r="K72" i="9"/>
  <c r="K25" i="9"/>
  <c r="K19" i="9"/>
  <c r="K45" i="9"/>
  <c r="J26" i="9"/>
  <c r="J13" i="9"/>
  <c r="K65" i="9"/>
  <c r="J21" i="9"/>
  <c r="J56" i="9"/>
  <c r="J23" i="9"/>
  <c r="J16" i="9"/>
  <c r="K6" i="9"/>
  <c r="J36" i="9"/>
  <c r="J43" i="9"/>
  <c r="J30" i="9"/>
  <c r="K46" i="9"/>
  <c r="J66" i="9"/>
  <c r="J63" i="9"/>
  <c r="J31" i="9"/>
  <c r="J7" i="9"/>
  <c r="K36" i="9"/>
  <c r="K3" i="9"/>
  <c r="J40" i="9"/>
  <c r="J34" i="9"/>
  <c r="J48" i="9"/>
  <c r="J68" i="9"/>
  <c r="K8" i="9"/>
  <c r="J74" i="9"/>
  <c r="K48" i="9"/>
  <c r="K14" i="9"/>
  <c r="J22" i="9"/>
  <c r="J39" i="9"/>
  <c r="J59" i="9"/>
  <c r="J6" i="9"/>
  <c r="J3" i="9"/>
  <c r="K70" i="9"/>
  <c r="J71" i="9"/>
  <c r="J33" i="9"/>
  <c r="K29" i="9"/>
  <c r="K26" i="9"/>
  <c r="J46" i="9"/>
  <c r="J53" i="9"/>
  <c r="K30" i="9"/>
  <c r="K66" i="9"/>
  <c r="K16" i="9"/>
  <c r="J73" i="9"/>
  <c r="K39" i="9"/>
  <c r="J47" i="9"/>
  <c r="J19" i="9"/>
  <c r="K40" i="9"/>
  <c r="J44" i="9"/>
  <c r="J41" i="9"/>
  <c r="J54" i="9"/>
  <c r="J64" i="9"/>
  <c r="K28" i="9"/>
  <c r="J2" i="9"/>
  <c r="J12" i="9"/>
  <c r="K24" i="9"/>
  <c r="J32" i="9"/>
  <c r="K44" i="9"/>
  <c r="K56" i="9"/>
  <c r="J28" i="9"/>
  <c r="J29" i="9"/>
  <c r="J49" i="9"/>
  <c r="J69" i="9"/>
  <c r="K9" i="9"/>
  <c r="K4" i="9"/>
  <c r="K58" i="9"/>
  <c r="K34" i="9"/>
  <c r="J9" i="9"/>
  <c r="J42" i="9"/>
  <c r="C5" i="9"/>
  <c r="G22" i="6" s="1"/>
  <c r="I5" i="9"/>
  <c r="G23" i="6" s="1"/>
  <c r="D134" i="8" l="1"/>
  <c r="E91" i="8"/>
  <c r="D91" i="8"/>
  <c r="D67" i="8" l="1"/>
  <c r="E50" i="8" l="1"/>
  <c r="E67" i="8" s="1"/>
  <c r="F50" i="8"/>
  <c r="G50" i="8" l="1"/>
  <c r="G67" i="8" s="1"/>
  <c r="F67" i="8"/>
  <c r="H50" i="8" l="1"/>
  <c r="H67" i="8" s="1"/>
  <c r="I50" i="8" l="1"/>
  <c r="I67" i="8" s="1"/>
  <c r="J50" i="8" l="1"/>
  <c r="J67" i="8" s="1"/>
  <c r="K50" i="8" l="1"/>
  <c r="K67" i="8" s="1"/>
  <c r="L50" i="8" l="1"/>
  <c r="L67" i="8" s="1"/>
  <c r="M50" i="8" l="1"/>
  <c r="M67" i="8" s="1"/>
  <c r="N50" i="8" l="1"/>
  <c r="N67" i="8" s="1"/>
  <c r="O50" i="8" l="1"/>
  <c r="O67" i="8" s="1"/>
  <c r="F20" i="6"/>
  <c r="E8" i="6"/>
  <c r="H26" i="6" s="1"/>
  <c r="E26" i="6" l="1"/>
  <c r="E14" i="6"/>
  <c r="E20" i="6"/>
  <c r="G26" i="6"/>
  <c r="E10" i="6"/>
  <c r="D137" i="8" l="1"/>
  <c r="D1" i="1"/>
  <c r="E117" i="8"/>
  <c r="E134" i="8" s="1"/>
  <c r="D96" i="8"/>
  <c r="F74" i="8"/>
  <c r="L118" i="8"/>
  <c r="M118" i="8"/>
  <c r="N118" i="8"/>
  <c r="O118" i="8"/>
  <c r="E118" i="8"/>
  <c r="F118" i="8"/>
  <c r="G118" i="8"/>
  <c r="H118" i="8"/>
  <c r="I118" i="8"/>
  <c r="J118" i="8"/>
  <c r="K118" i="8"/>
  <c r="D118" i="8"/>
  <c r="D139" i="8" s="1"/>
  <c r="AI97" i="8"/>
  <c r="AJ97" i="8"/>
  <c r="AH97" i="8"/>
  <c r="E97" i="8"/>
  <c r="F97" i="8"/>
  <c r="G97" i="8"/>
  <c r="H97" i="8"/>
  <c r="I97" i="8"/>
  <c r="J97" i="8"/>
  <c r="K97" i="8"/>
  <c r="L97" i="8"/>
  <c r="M97" i="8"/>
  <c r="N97" i="8"/>
  <c r="O97" i="8"/>
  <c r="P97" i="8"/>
  <c r="Q97" i="8"/>
  <c r="R97" i="8"/>
  <c r="S97" i="8"/>
  <c r="T97" i="8"/>
  <c r="U97" i="8"/>
  <c r="V97" i="8"/>
  <c r="W97" i="8"/>
  <c r="X97" i="8"/>
  <c r="Y97" i="8"/>
  <c r="Z97" i="8"/>
  <c r="AA97" i="8"/>
  <c r="AB97" i="8"/>
  <c r="AC97" i="8"/>
  <c r="AD97" i="8"/>
  <c r="AE97" i="8"/>
  <c r="AF97" i="8"/>
  <c r="AG97" i="8"/>
  <c r="D97" i="8"/>
  <c r="AA75" i="8"/>
  <c r="U75" i="8"/>
  <c r="V75" i="8"/>
  <c r="W75" i="8"/>
  <c r="X75" i="8"/>
  <c r="Y75" i="8"/>
  <c r="Z75" i="8"/>
  <c r="O75" i="8"/>
  <c r="P75" i="8"/>
  <c r="Q75" i="8"/>
  <c r="R75" i="8"/>
  <c r="S75" i="8"/>
  <c r="T75" i="8"/>
  <c r="E75" i="8"/>
  <c r="F75" i="8"/>
  <c r="G75" i="8"/>
  <c r="H75" i="8"/>
  <c r="I75" i="8"/>
  <c r="J75" i="8"/>
  <c r="K75" i="8"/>
  <c r="L75" i="8"/>
  <c r="M75" i="8"/>
  <c r="N75" i="8"/>
  <c r="D75" i="8"/>
  <c r="G74" i="8" l="1"/>
  <c r="F91" i="8"/>
  <c r="E96" i="8"/>
  <c r="E113" i="8" s="1"/>
  <c r="D113" i="8"/>
  <c r="F96" i="8"/>
  <c r="F113" i="8" s="1"/>
  <c r="F117" i="8"/>
  <c r="F134" i="8" s="1"/>
  <c r="D28" i="8"/>
  <c r="D45" i="8" s="1"/>
  <c r="D6" i="8"/>
  <c r="H74" i="8" l="1"/>
  <c r="G91" i="8"/>
  <c r="E6" i="8"/>
  <c r="E23" i="8" s="1"/>
  <c r="D23" i="8"/>
  <c r="F6" i="8"/>
  <c r="F23" i="8" s="1"/>
  <c r="E28" i="8"/>
  <c r="E45" i="8" s="1"/>
  <c r="G96" i="8"/>
  <c r="G113" i="8" s="1"/>
  <c r="G117" i="8"/>
  <c r="G134" i="8" s="1"/>
  <c r="I74" i="8" l="1"/>
  <c r="H91" i="8"/>
  <c r="G6" i="8"/>
  <c r="G23" i="8" s="1"/>
  <c r="F28" i="8"/>
  <c r="F45" i="8" s="1"/>
  <c r="H96" i="8"/>
  <c r="H113" i="8" s="1"/>
  <c r="H117" i="8"/>
  <c r="H134" i="8" s="1"/>
  <c r="J74" i="8" l="1"/>
  <c r="I91" i="8"/>
  <c r="H6" i="8"/>
  <c r="H23" i="8" s="1"/>
  <c r="G28" i="8"/>
  <c r="G45" i="8" s="1"/>
  <c r="I96" i="8"/>
  <c r="I113" i="8" s="1"/>
  <c r="I117" i="8"/>
  <c r="I134" i="8" s="1"/>
  <c r="K74" i="8" l="1"/>
  <c r="J91" i="8"/>
  <c r="I6" i="8"/>
  <c r="I23" i="8" s="1"/>
  <c r="H28" i="8"/>
  <c r="H45" i="8" s="1"/>
  <c r="J96" i="8"/>
  <c r="J113" i="8" s="1"/>
  <c r="J117" i="8"/>
  <c r="J134" i="8" s="1"/>
  <c r="L74" i="8" l="1"/>
  <c r="K91" i="8"/>
  <c r="J6" i="8"/>
  <c r="J23" i="8" s="1"/>
  <c r="I28" i="8"/>
  <c r="I45" i="8" s="1"/>
  <c r="K96" i="8"/>
  <c r="K113" i="8" s="1"/>
  <c r="K117" i="8"/>
  <c r="K134" i="8" s="1"/>
  <c r="M74" i="8" l="1"/>
  <c r="L91" i="8"/>
  <c r="K6" i="8"/>
  <c r="K23" i="8" s="1"/>
  <c r="J28" i="8"/>
  <c r="J45" i="8" s="1"/>
  <c r="L96" i="8"/>
  <c r="L113" i="8" s="1"/>
  <c r="L117" i="8"/>
  <c r="L134" i="8" s="1"/>
  <c r="N74" i="8" l="1"/>
  <c r="M91" i="8"/>
  <c r="L6" i="8"/>
  <c r="L23" i="8" s="1"/>
  <c r="K28" i="8"/>
  <c r="K45" i="8" s="1"/>
  <c r="M96" i="8"/>
  <c r="M113" i="8" s="1"/>
  <c r="M117" i="8"/>
  <c r="M134" i="8" s="1"/>
  <c r="O74" i="8" l="1"/>
  <c r="N91" i="8"/>
  <c r="M6" i="8"/>
  <c r="M23" i="8" s="1"/>
  <c r="L28" i="8"/>
  <c r="L45" i="8" s="1"/>
  <c r="N96" i="8"/>
  <c r="N113" i="8" s="1"/>
  <c r="N117" i="8"/>
  <c r="N134" i="8" s="1"/>
  <c r="P74" i="8" l="1"/>
  <c r="O91" i="8"/>
  <c r="N6" i="8"/>
  <c r="N23" i="8" s="1"/>
  <c r="M28" i="8"/>
  <c r="M45" i="8" s="1"/>
  <c r="O96" i="8"/>
  <c r="O113" i="8" s="1"/>
  <c r="O117" i="8"/>
  <c r="O134" i="8" s="1"/>
  <c r="H11" i="6"/>
  <c r="H10" i="6"/>
  <c r="G11" i="6"/>
  <c r="G10" i="6"/>
  <c r="E11" i="6"/>
  <c r="F11" i="6"/>
  <c r="G14" i="6"/>
  <c r="Q74" i="8" l="1"/>
  <c r="P91" i="8"/>
  <c r="O6" i="8"/>
  <c r="O23" i="8" s="1"/>
  <c r="N28" i="8"/>
  <c r="N45" i="8" s="1"/>
  <c r="P96" i="8"/>
  <c r="P113" i="8" s="1"/>
  <c r="R74" i="8" l="1"/>
  <c r="Q91" i="8"/>
  <c r="P6" i="8"/>
  <c r="P23" i="8" s="1"/>
  <c r="O28" i="8"/>
  <c r="O45" i="8" s="1"/>
  <c r="Q96" i="8"/>
  <c r="Q113" i="8" s="1"/>
  <c r="S74" i="8" l="1"/>
  <c r="R91" i="8"/>
  <c r="Q6" i="8"/>
  <c r="Q23" i="8" s="1"/>
  <c r="P28" i="8"/>
  <c r="P45" i="8" s="1"/>
  <c r="R96" i="8"/>
  <c r="R113" i="8" s="1"/>
  <c r="T74" i="8" l="1"/>
  <c r="S91" i="8"/>
  <c r="R6" i="8"/>
  <c r="R23" i="8" s="1"/>
  <c r="Q28" i="8"/>
  <c r="Q45" i="8" s="1"/>
  <c r="S96" i="8"/>
  <c r="S113" i="8" s="1"/>
  <c r="U74" i="8" l="1"/>
  <c r="T91" i="8"/>
  <c r="S6" i="8"/>
  <c r="S23" i="8" s="1"/>
  <c r="R28" i="8"/>
  <c r="R45" i="8" s="1"/>
  <c r="T96" i="8"/>
  <c r="T113" i="8" s="1"/>
  <c r="V74" i="8" l="1"/>
  <c r="U91" i="8"/>
  <c r="T6" i="8"/>
  <c r="T23" i="8" s="1"/>
  <c r="S28" i="8"/>
  <c r="S45" i="8" s="1"/>
  <c r="U96" i="8"/>
  <c r="U113" i="8" s="1"/>
  <c r="W74" i="8" l="1"/>
  <c r="V91" i="8"/>
  <c r="U6" i="8"/>
  <c r="U23" i="8" s="1"/>
  <c r="T28" i="8"/>
  <c r="T45" i="8" s="1"/>
  <c r="V96" i="8"/>
  <c r="V113" i="8" s="1"/>
  <c r="X74" i="8" l="1"/>
  <c r="W91" i="8"/>
  <c r="V6" i="8"/>
  <c r="V23" i="8" s="1"/>
  <c r="U28" i="8"/>
  <c r="U45" i="8" s="1"/>
  <c r="W96" i="8"/>
  <c r="W113" i="8" s="1"/>
  <c r="Y74" i="8" l="1"/>
  <c r="X91" i="8"/>
  <c r="W6" i="8"/>
  <c r="W23" i="8" s="1"/>
  <c r="V28" i="8"/>
  <c r="V45" i="8" s="1"/>
  <c r="X96" i="8"/>
  <c r="X113" i="8" s="1"/>
  <c r="Z74" i="8" l="1"/>
  <c r="Y91" i="8"/>
  <c r="X6" i="8"/>
  <c r="X23" i="8" s="1"/>
  <c r="W28" i="8"/>
  <c r="W45" i="8" s="1"/>
  <c r="Y96" i="8"/>
  <c r="Y113" i="8" s="1"/>
  <c r="AA74" i="8" l="1"/>
  <c r="AA91" i="8" s="1"/>
  <c r="Z91" i="8"/>
  <c r="Y6" i="8"/>
  <c r="Y23" i="8" s="1"/>
  <c r="X28" i="8"/>
  <c r="X45" i="8" s="1"/>
  <c r="Z96" i="8"/>
  <c r="Z113" i="8" s="1"/>
  <c r="Z6" i="8" l="1"/>
  <c r="Z23" i="8" s="1"/>
  <c r="Y28" i="8"/>
  <c r="Y45" i="8" s="1"/>
  <c r="AA96" i="8"/>
  <c r="AA113" i="8" s="1"/>
  <c r="AA6" i="8" l="1"/>
  <c r="AA23" i="8" s="1"/>
  <c r="Z28" i="8"/>
  <c r="Z45" i="8" s="1"/>
  <c r="AB96" i="8"/>
  <c r="AB113" i="8" s="1"/>
  <c r="AA28" i="8" l="1"/>
  <c r="AA45" i="8" s="1"/>
  <c r="AC96" i="8"/>
  <c r="AC113" i="8" s="1"/>
  <c r="AB28" i="8" l="1"/>
  <c r="AB45" i="8" s="1"/>
  <c r="AD96" i="8"/>
  <c r="AD113" i="8" s="1"/>
  <c r="AC28" i="8" l="1"/>
  <c r="AC45" i="8" s="1"/>
  <c r="AE96" i="8"/>
  <c r="AE113" i="8" s="1"/>
  <c r="AD28" i="8" l="1"/>
  <c r="AD45" i="8" s="1"/>
  <c r="AF96" i="8"/>
  <c r="AF113" i="8" s="1"/>
  <c r="AE28" i="8" l="1"/>
  <c r="AE45" i="8" s="1"/>
  <c r="AG96" i="8"/>
  <c r="AG113" i="8" s="1"/>
  <c r="AF28" i="8" l="1"/>
  <c r="AF45" i="8" s="1"/>
  <c r="AH96" i="8"/>
  <c r="AH113" i="8" s="1"/>
  <c r="AG28" i="8" l="1"/>
  <c r="AG45" i="8" s="1"/>
  <c r="AI96" i="8"/>
  <c r="AI113" i="8" s="1"/>
  <c r="AH28" i="8" l="1"/>
  <c r="AH45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F22" authorId="0" shapeId="0" xr:uid="{00000000-0006-0000-0900-000001000000}">
      <text>
        <r>
          <rPr>
            <sz val="9"/>
            <color indexed="81"/>
            <rFont val="Segoe UI"/>
            <family val="2"/>
          </rPr>
          <t>Nonato Coelho - RNSistemas:
Dias de funcionamento forno  = 97
Dias de Monitoramento válido = 87
% de Monitoramento contínuio = 90
Objetivo = 67%</t>
        </r>
      </text>
    </comment>
    <comment ref="G22" authorId="0" shapeId="0" xr:uid="{00000000-0006-0000-0900-000002000000}">
      <text>
        <r>
          <rPr>
            <sz val="9"/>
            <color indexed="81"/>
            <rFont val="Segoe UI"/>
            <family val="2"/>
          </rPr>
          <t>Nonato Coelho - RNSistemas:
Dias de funcionamento forno  = 97
Dias de Monitoramento válido = 95
% de Monitoramento contínuio = 98
Objetivo = 67%</t>
        </r>
      </text>
    </comment>
    <comment ref="L22" authorId="0" shapeId="0" xr:uid="{00000000-0006-0000-0900-000003000000}">
      <text>
        <r>
          <rPr>
            <sz val="9"/>
            <color indexed="81"/>
            <rFont val="Segoe UI"/>
            <family val="2"/>
          </rPr>
          <t>Nonato Coelho - RNSistemas:
Dias de funcionamento forno  = 93
Dias de Monitoramento válido = 93
% de Monitoramento contínuio = 100
Objetivo = 67%</t>
        </r>
      </text>
    </comment>
    <comment ref="M22" authorId="0" shapeId="0" xr:uid="{00000000-0006-0000-0900-000004000000}">
      <text>
        <r>
          <rPr>
            <sz val="9"/>
            <color indexed="81"/>
            <rFont val="Segoe UI"/>
            <family val="2"/>
          </rPr>
          <t>Nonato Coelho - RNSistemas:
Dias de funcionamento forno  = 93
Dias de Monitoramento válido = 93
% de Monitoramento contínuio = 100
Objetivo = 67%</t>
        </r>
      </text>
    </comment>
    <comment ref="F29" authorId="0" shapeId="0" xr:uid="{00000000-0006-0000-0900-000005000000}">
      <text>
        <r>
          <rPr>
            <sz val="9"/>
            <color indexed="81"/>
            <rFont val="Segoe UI"/>
            <family val="2"/>
          </rPr>
          <t>Nonato Coelho - RNSistemas:
Dias de funcionamento forno  = 282
Dias de Monitoramento válido = 282
% de Monitoramento contínuio = 100
Objetivo = 67%</t>
        </r>
      </text>
    </comment>
    <comment ref="G29" authorId="0" shapeId="0" xr:uid="{00000000-0006-0000-0900-000006000000}">
      <text>
        <r>
          <rPr>
            <sz val="9"/>
            <color indexed="81"/>
            <rFont val="Segoe UI"/>
            <family val="2"/>
          </rPr>
          <t>Nonato Coelho - RNSistemas:
Dias de funcionamento forno  = 282
Dias de Monitoramento válido = 280
% de Monitoramento contínuio = 99
Objetivo = 67%</t>
        </r>
      </text>
    </comment>
    <comment ref="L29" authorId="0" shapeId="0" xr:uid="{00000000-0006-0000-0900-000007000000}">
      <text>
        <r>
          <rPr>
            <sz val="9"/>
            <color indexed="81"/>
            <rFont val="Segoe UI"/>
            <family val="2"/>
          </rPr>
          <t>Nonato Coelho - RNSistemas:
Dias de funcionamento forno  = 296
Dias de Monitoramento válido = 296
% de Monitoramento contínuio = 100
Objetivo = 67%</t>
        </r>
      </text>
    </comment>
    <comment ref="M29" authorId="0" shapeId="0" xr:uid="{00000000-0006-0000-0900-000008000000}">
      <text>
        <r>
          <rPr>
            <sz val="9"/>
            <color indexed="81"/>
            <rFont val="Segoe UI"/>
            <family val="2"/>
          </rPr>
          <t>Nonato Coelho - RNSistemas:
Dias de funcionamento forno  = 296
Dias de Monitoramento válido = 296
% de Monitoramento contínuio = 100
Objetivo = 67%</t>
        </r>
      </text>
    </comment>
  </commentList>
</comments>
</file>

<file path=xl/sharedStrings.xml><?xml version="1.0" encoding="utf-8"?>
<sst xmlns="http://schemas.openxmlformats.org/spreadsheetml/2006/main" count="2446" uniqueCount="79">
  <si>
    <t>DESCRIÇÃO</t>
  </si>
  <si>
    <t>EQUIPAMENTOS</t>
  </si>
  <si>
    <t>TAG</t>
  </si>
  <si>
    <t>FILTRO</t>
  </si>
  <si>
    <t>% de CONVERSÃO O2</t>
  </si>
  <si>
    <t>UND MED. BRUTO</t>
  </si>
  <si>
    <t>LIMITE LEGAL</t>
  </si>
  <si>
    <t>UND. MED. CONVERTIDO</t>
  </si>
  <si>
    <t>NA</t>
  </si>
  <si>
    <t>Média do intervalo</t>
  </si>
  <si>
    <t>Horas de funcionamento do equipamento</t>
  </si>
  <si>
    <t>Horas válidas | % com Monitoramento Válido (&gt;=75%)</t>
  </si>
  <si>
    <t>Horas de emissão acima do limite</t>
  </si>
  <si>
    <t>Horas de emissão abaixo do limite</t>
  </si>
  <si>
    <t>% Monitoramento Continuo MP e NOX</t>
  </si>
  <si>
    <t>--</t>
  </si>
  <si>
    <t>Dados de emissão Diário</t>
  </si>
  <si>
    <t>Conformidade de Emissão</t>
  </si>
  <si>
    <t>Dados de emissão Anual</t>
  </si>
  <si>
    <t>Unidade</t>
  </si>
  <si>
    <t>Forno</t>
  </si>
  <si>
    <t>Limite</t>
  </si>
  <si>
    <r>
      <t>CO ppmv 7% O</t>
    </r>
    <r>
      <rPr>
        <b/>
        <vertAlign val="subscript"/>
        <sz val="18"/>
        <color rgb="FFFFFFFF"/>
        <rFont val="Calibri"/>
        <family val="2"/>
        <scheme val="minor"/>
      </rPr>
      <t>2</t>
    </r>
  </si>
  <si>
    <r>
      <t>THC ppmv 7% O</t>
    </r>
    <r>
      <rPr>
        <b/>
        <vertAlign val="subscript"/>
        <sz val="18"/>
        <color rgb="FFFFFFFF"/>
        <rFont val="Calibri"/>
        <family val="2"/>
        <scheme val="minor"/>
      </rPr>
      <t>2</t>
    </r>
  </si>
  <si>
    <r>
      <t>% O</t>
    </r>
    <r>
      <rPr>
        <b/>
        <vertAlign val="subscript"/>
        <sz val="18"/>
        <color rgb="FFFFFFFF"/>
        <rFont val="Calibri"/>
        <family val="2"/>
        <scheme val="minor"/>
      </rPr>
      <t>2</t>
    </r>
  </si>
  <si>
    <t>Tipo de poluição</t>
  </si>
  <si>
    <t>Base de dados horária</t>
  </si>
  <si>
    <t>Base de dados Diária</t>
  </si>
  <si>
    <t>Base de dados Mensal</t>
  </si>
  <si>
    <t>Limite Base de dados Horário</t>
  </si>
  <si>
    <t>Limite Base de dados Diário</t>
  </si>
  <si>
    <t>Limite Base de dados Mensal</t>
  </si>
  <si>
    <t>Gráfico</t>
  </si>
  <si>
    <t>Título gráfico horário</t>
  </si>
  <si>
    <t>Título gráfico Diário</t>
  </si>
  <si>
    <t>Título gráfico Mensal</t>
  </si>
  <si>
    <t>Parado</t>
  </si>
  <si>
    <r>
      <t>MP mg/Nm</t>
    </r>
    <r>
      <rPr>
        <vertAlign val="superscript"/>
        <sz val="20"/>
        <color rgb="FFFFFFFF"/>
        <rFont val="Calibri"/>
        <family val="2"/>
        <scheme val="minor"/>
      </rPr>
      <t>3</t>
    </r>
    <r>
      <rPr>
        <sz val="20"/>
        <color rgb="FFFFFFFF"/>
        <rFont val="Calibri"/>
        <family val="2"/>
        <scheme val="minor"/>
      </rPr>
      <t xml:space="preserve"> 11% O</t>
    </r>
    <r>
      <rPr>
        <vertAlign val="subscript"/>
        <sz val="20"/>
        <color rgb="FFFFFFFF"/>
        <rFont val="Calibri"/>
        <family val="2"/>
        <scheme val="minor"/>
      </rPr>
      <t>2</t>
    </r>
  </si>
  <si>
    <t>MP CHAMINE W2X22</t>
  </si>
  <si>
    <t>NOX CHAMINE W2X22</t>
  </si>
  <si>
    <t>SOX CHAMINE W2X22</t>
  </si>
  <si>
    <t>CO CHAMINE W2X22</t>
  </si>
  <si>
    <t>THC CHAMINE W2X22</t>
  </si>
  <si>
    <t>O2 CHAMINE W2X22</t>
  </si>
  <si>
    <t>MP CHAMINE J3P01</t>
  </si>
  <si>
    <t>NOX CHAMINE J3P01</t>
  </si>
  <si>
    <t>SOX CHAMINE J3P01</t>
  </si>
  <si>
    <t>CO CHAMINE J3P01</t>
  </si>
  <si>
    <t>THC CHAMINE J3P01</t>
  </si>
  <si>
    <t>O2 CHAMINE J3P01</t>
  </si>
  <si>
    <t>MP CHAMINE Z1P20</t>
  </si>
  <si>
    <t>MP CHAMINE Z2P20</t>
  </si>
  <si>
    <r>
      <rPr>
        <b/>
        <sz val="11"/>
        <color theme="1"/>
        <rFont val="Calibri"/>
        <family val="2"/>
        <scheme val="minor"/>
      </rPr>
      <t>Resolução CONAMA 382/06, § 2o ,IV</t>
    </r>
    <r>
      <rPr>
        <sz val="11"/>
        <color theme="1"/>
        <rFont val="Calibri"/>
        <family val="2"/>
        <scheme val="minor"/>
      </rPr>
      <t>: O limite de emissão, verificado através de monitoramento contínuo, é atendido
 quando, no mínimo, 90% das médias diárias válidas atendem a 100% do limite e o restante 
das médias diárias válidas atende a 130% do limite.</t>
    </r>
  </si>
  <si>
    <t>Meta</t>
  </si>
  <si>
    <t>NOx mg/Nm³ 10% O2</t>
  </si>
  <si>
    <r>
      <t xml:space="preserve">Resolução CONAMA 436/11, ANEXO XIX ,8.4: </t>
    </r>
    <r>
      <rPr>
        <sz val="11"/>
        <color theme="1"/>
        <rFont val="Calibri"/>
        <family val="2"/>
        <scheme val="minor"/>
      </rPr>
      <t>O limite de emissão, verificado através de monitoramento contínuo, é atendido
 quando, no mínimo, 90% das médias diárias válidas atendem a 100% do limite e o restante 
das médias diárias válidas atende a 130% do limite.</t>
    </r>
  </si>
  <si>
    <t>SOx mg/Nm³ 10% O2</t>
  </si>
  <si>
    <t>CI-H2_so3</t>
  </si>
  <si>
    <t>Tag</t>
  </si>
  <si>
    <t>Valor</t>
  </si>
  <si>
    <t>Data</t>
  </si>
  <si>
    <t>CI-H3_so3</t>
  </si>
  <si>
    <t>Range</t>
  </si>
  <si>
    <t>Média</t>
  </si>
  <si>
    <t>Limite Inf</t>
  </si>
  <si>
    <t>Título gráfico SO3 w2</t>
  </si>
  <si>
    <t>Título gráfico SO3 w3</t>
  </si>
  <si>
    <r>
      <t>Níveis de %SO</t>
    </r>
    <r>
      <rPr>
        <b/>
        <sz val="18"/>
        <color theme="4" tint="-0.249977111117893"/>
        <rFont val="Calibri"/>
        <family val="2"/>
        <scheme val="minor"/>
      </rPr>
      <t>3</t>
    </r>
    <r>
      <rPr>
        <b/>
        <sz val="26"/>
        <color theme="4" tint="-0.249977111117893"/>
        <rFont val="Calibri"/>
        <family val="2"/>
        <scheme val="minor"/>
      </rPr>
      <t xml:space="preserve"> na farinha</t>
    </r>
  </si>
  <si>
    <r>
      <t>%SO</t>
    </r>
    <r>
      <rPr>
        <sz val="8"/>
        <color rgb="FFFFFFFF"/>
        <rFont val="Calibri"/>
        <family val="2"/>
        <scheme val="minor"/>
      </rPr>
      <t>3</t>
    </r>
    <r>
      <rPr>
        <sz val="11"/>
        <color rgb="FFFFFFFF"/>
        <rFont val="Calibri"/>
        <family val="2"/>
        <scheme val="minor"/>
      </rPr>
      <t xml:space="preserve">  na farinha acumulada</t>
    </r>
  </si>
  <si>
    <t>Horas válidas | % com Monitoramento Válido (&gt;=0%)</t>
  </si>
  <si>
    <t>Média Inválida</t>
  </si>
  <si>
    <t>Conformidade da emissão Anual</t>
  </si>
  <si>
    <t/>
  </si>
  <si>
    <t>Conformidade Legal Mensal</t>
  </si>
  <si>
    <t>Conformidade Legal Anual</t>
  </si>
  <si>
    <t>11,17 | 100%</t>
  </si>
  <si>
    <t>xx1</t>
  </si>
  <si>
    <t>xx2</t>
  </si>
  <si>
    <r>
      <t>Relatório diário de Emissões:</t>
    </r>
    <r>
      <rPr>
        <sz val="14"/>
        <color theme="1"/>
        <rFont val="Calibri"/>
        <family val="2"/>
        <scheme val="minor"/>
      </rPr>
      <t xml:space="preserve">
</t>
    </r>
    <r>
      <rPr>
        <b/>
        <sz val="14"/>
        <color theme="1"/>
        <rFont val="Calibri"/>
        <family val="2"/>
        <scheme val="minor"/>
      </rPr>
      <t>MP - Material Particulado</t>
    </r>
    <r>
      <rPr>
        <sz val="14"/>
        <color theme="1"/>
        <rFont val="Calibri"/>
        <family val="2"/>
        <scheme val="minor"/>
      </rPr>
      <t xml:space="preserve">
</t>
    </r>
    <r>
      <rPr>
        <b/>
        <sz val="14"/>
        <color theme="1"/>
        <rFont val="Calibri"/>
        <family val="2"/>
        <scheme val="minor"/>
      </rPr>
      <t>W2:</t>
    </r>
    <r>
      <rPr>
        <sz val="14"/>
        <color theme="1"/>
        <rFont val="Calibri"/>
        <family val="2"/>
        <scheme val="minor"/>
      </rPr>
      <t xml:space="preserve"> Média diária atendendo ao limite legal estabelecido.
</t>
    </r>
    <r>
      <rPr>
        <b/>
        <sz val="14"/>
        <color theme="1"/>
        <rFont val="Calibri"/>
        <family val="2"/>
        <scheme val="minor"/>
      </rPr>
      <t>W3:</t>
    </r>
    <r>
      <rPr>
        <sz val="14"/>
        <color theme="1"/>
        <rFont val="Calibri"/>
        <family val="2"/>
        <scheme val="minor"/>
      </rPr>
      <t xml:space="preserve"> Média diária atendendo ao limite legal estabelecido.
</t>
    </r>
    <r>
      <rPr>
        <b/>
        <sz val="14"/>
        <color theme="1"/>
        <rFont val="Calibri"/>
        <family val="2"/>
        <scheme val="minor"/>
      </rPr>
      <t>NOx - Óxidos de nitrogênio</t>
    </r>
    <r>
      <rPr>
        <sz val="14"/>
        <color theme="1"/>
        <rFont val="Calibri"/>
        <family val="2"/>
        <scheme val="minor"/>
      </rPr>
      <t xml:space="preserve">
</t>
    </r>
    <r>
      <rPr>
        <b/>
        <sz val="14"/>
        <color theme="1"/>
        <rFont val="Calibri"/>
        <family val="2"/>
        <scheme val="minor"/>
      </rPr>
      <t>W2:</t>
    </r>
    <r>
      <rPr>
        <sz val="14"/>
        <color theme="1"/>
        <rFont val="Calibri"/>
        <family val="2"/>
        <scheme val="minor"/>
      </rPr>
      <t xml:space="preserve"> Média diária atendendo ao limite legal estabelecido.
</t>
    </r>
    <r>
      <rPr>
        <b/>
        <sz val="14"/>
        <color theme="1"/>
        <rFont val="Calibri"/>
        <family val="2"/>
        <scheme val="minor"/>
      </rPr>
      <t>W3:</t>
    </r>
    <r>
      <rPr>
        <sz val="14"/>
        <color theme="1"/>
        <rFont val="Calibri"/>
        <family val="2"/>
        <scheme val="minor"/>
      </rPr>
      <t xml:space="preserve"> Média diária atendendo ao limite legal estabelecido.
</t>
    </r>
    <r>
      <rPr>
        <b/>
        <sz val="14"/>
        <color theme="1"/>
        <rFont val="Calibri"/>
        <family val="2"/>
        <scheme val="minor"/>
      </rPr>
      <t>SOx - Óxidos de Enxofre</t>
    </r>
    <r>
      <rPr>
        <sz val="14"/>
        <color theme="1"/>
        <rFont val="Calibri"/>
        <family val="2"/>
        <scheme val="minor"/>
      </rPr>
      <t xml:space="preserve">
</t>
    </r>
    <r>
      <rPr>
        <b/>
        <sz val="14"/>
        <color theme="1"/>
        <rFont val="Calibri"/>
        <family val="2"/>
        <scheme val="minor"/>
      </rPr>
      <t>W2:</t>
    </r>
    <r>
      <rPr>
        <sz val="14"/>
        <color theme="1"/>
        <rFont val="Calibri"/>
        <family val="2"/>
        <scheme val="minor"/>
      </rPr>
      <t xml:space="preserve"> Média diária atendendo ao limite legal estabelecido.
</t>
    </r>
    <r>
      <rPr>
        <b/>
        <sz val="14"/>
        <color theme="1"/>
        <rFont val="Calibri"/>
        <family val="2"/>
        <scheme val="minor"/>
      </rPr>
      <t>W3:</t>
    </r>
    <r>
      <rPr>
        <sz val="14"/>
        <color theme="1"/>
        <rFont val="Calibri"/>
        <family val="2"/>
        <scheme val="minor"/>
      </rPr>
      <t xml:space="preserve"> Média diária atendendo ao limite legal estabelecido.
</t>
    </r>
    <r>
      <rPr>
        <b/>
        <sz val="14"/>
        <color theme="1"/>
        <rFont val="Calibri"/>
        <family val="2"/>
        <scheme val="minor"/>
      </rPr>
      <t>THC - Hidrocarbonetos Totais</t>
    </r>
    <r>
      <rPr>
        <sz val="14"/>
        <color theme="1"/>
        <rFont val="Calibri"/>
        <family val="2"/>
        <scheme val="minor"/>
      </rPr>
      <t xml:space="preserve">
</t>
    </r>
    <r>
      <rPr>
        <b/>
        <sz val="14"/>
        <color theme="1"/>
        <rFont val="Calibri"/>
        <family val="2"/>
        <scheme val="minor"/>
      </rPr>
      <t>W2:</t>
    </r>
    <r>
      <rPr>
        <sz val="14"/>
        <color theme="1"/>
        <rFont val="Calibri"/>
        <family val="2"/>
        <scheme val="minor"/>
      </rPr>
      <t xml:space="preserve"> Média diária atendendo à meta estabelecida.
</t>
    </r>
    <r>
      <rPr>
        <b/>
        <sz val="14"/>
        <color theme="1"/>
        <rFont val="Calibri"/>
        <family val="2"/>
        <scheme val="minor"/>
      </rPr>
      <t>W3:</t>
    </r>
    <r>
      <rPr>
        <sz val="14"/>
        <color theme="1"/>
        <rFont val="Calibri"/>
        <family val="2"/>
        <scheme val="minor"/>
      </rPr>
      <t xml:space="preserve"> Média diária atendendo à meta estabelecida.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</si>
</sst>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dd/mmm/yyyy"/>
    <numFmt numFmtId="165" formatCode="[$-416]mmm\-yy;@"/>
    <numFmt numFmtId="166" formatCode="0.0"/>
    <numFmt numFmtId="167" formatCode="dd\-mmm\-yy\ hh:mm:ss"/>
  </numFmts>
  <fonts count="26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9"/>
      <color indexed="81"/>
      <name val="Segoe UI"/>
      <family val="2"/>
    </font>
    <font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b/>
      <sz val="22"/>
      <color rgb="FFFFFFFF"/>
      <name val="Calibri"/>
      <family val="2"/>
      <scheme val="minor"/>
    </font>
    <font>
      <sz val="12"/>
      <color rgb="FF000000"/>
      <name val="Calibri"/>
      <family val="2"/>
      <scheme val="minor"/>
    </font>
    <font>
      <b/>
      <vertAlign val="subscript"/>
      <sz val="18"/>
      <color rgb="FFFFFFFF"/>
      <name val="Calibri"/>
      <family val="2"/>
      <scheme val="minor"/>
    </font>
    <font>
      <sz val="14"/>
      <color rgb="FF000000"/>
      <name val="Calibri"/>
      <family val="2"/>
    </font>
    <font>
      <sz val="10"/>
      <name val="Arial"/>
      <family val="2"/>
    </font>
    <font>
      <b/>
      <sz val="12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26"/>
      <color theme="4" tint="-0.249977111117893"/>
      <name val="Calibri"/>
      <family val="2"/>
      <scheme val="minor"/>
    </font>
    <font>
      <sz val="20"/>
      <color rgb="FFFFFFFF"/>
      <name val="Calibri"/>
      <family val="2"/>
      <scheme val="minor"/>
    </font>
    <font>
      <vertAlign val="superscript"/>
      <sz val="20"/>
      <color rgb="FFFFFFFF"/>
      <name val="Calibri"/>
      <family val="2"/>
      <scheme val="minor"/>
    </font>
    <font>
      <vertAlign val="subscript"/>
      <sz val="20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rgb="FFFFFFFF"/>
      <name val="Calibri"/>
      <family val="2"/>
      <scheme val="minor"/>
    </font>
    <font>
      <sz val="8"/>
      <color rgb="FFFFFFFF"/>
      <name val="Calibri"/>
      <family val="2"/>
      <scheme val="minor"/>
    </font>
    <font>
      <b/>
      <sz val="18"/>
      <color theme="4" tint="-0.249977111117893"/>
      <name val="Calibri"/>
      <family val="2"/>
      <scheme val="minor"/>
    </font>
    <font>
      <sz val="10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B4C6E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8E8E8"/>
        <bgColor indexed="64"/>
      </patternFill>
    </fill>
  </fills>
  <borders count="40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theme="0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theme="0"/>
      </top>
      <bottom style="medium">
        <color theme="0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theme="0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medium">
        <color theme="0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medium">
        <color theme="0"/>
      </top>
      <bottom style="medium">
        <color theme="0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theme="0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dotted">
        <color theme="0" tint="-0.34998626667073579"/>
      </bottom>
      <diagonal/>
    </border>
    <border>
      <left style="thin">
        <color theme="0" tint="-0.24994659260841701"/>
      </left>
      <right/>
      <top style="medium">
        <color theme="0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dotted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24994659260841701"/>
      </top>
      <bottom style="dotted">
        <color theme="0" tint="-0.34998626667073579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medium">
        <color theme="0" tint="-0.24994659260841701"/>
      </left>
      <right/>
      <top/>
      <bottom/>
      <diagonal/>
    </border>
    <border>
      <left/>
      <right style="medium">
        <color theme="0" tint="-0.24994659260841701"/>
      </right>
      <top/>
      <bottom/>
      <diagonal/>
    </border>
    <border>
      <left style="medium">
        <color theme="0" tint="-0.24994659260841701"/>
      </left>
      <right/>
      <top/>
      <bottom style="medium">
        <color theme="0" tint="-0.24994659260841701"/>
      </bottom>
      <diagonal/>
    </border>
    <border>
      <left/>
      <right/>
      <top/>
      <bottom style="medium">
        <color theme="0" tint="-0.24994659260841701"/>
      </bottom>
      <diagonal/>
    </border>
    <border>
      <left/>
      <right style="medium">
        <color theme="0" tint="-0.24994659260841701"/>
      </right>
      <top/>
      <bottom style="medium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dashed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24994659260841701"/>
      </top>
      <bottom/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dashed">
        <color theme="0" tint="-0.34998626667073579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5">
    <xf numFmtId="0" fontId="0" fillId="0" borderId="0"/>
    <xf numFmtId="9" fontId="4" fillId="0" borderId="0" applyFont="0" applyFill="0" applyBorder="0" applyAlignment="0" applyProtection="0"/>
    <xf numFmtId="0" fontId="14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</cellStyleXfs>
  <cellXfs count="105">
    <xf numFmtId="0" fontId="0" fillId="0" borderId="0" xfId="0"/>
    <xf numFmtId="0" fontId="1" fillId="2" borderId="1" xfId="0" applyFont="1" applyFill="1" applyBorder="1" applyAlignment="1">
      <alignment horizontal="center"/>
    </xf>
    <xf numFmtId="2" fontId="1" fillId="0" borderId="1" xfId="0" applyNumberFormat="1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2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64" fontId="1" fillId="0" borderId="1" xfId="0" applyNumberFormat="1" applyFont="1" applyBorder="1" applyAlignment="1">
      <alignment horizontal="center"/>
    </xf>
    <xf numFmtId="9" fontId="2" fillId="0" borderId="1" xfId="1" applyFont="1" applyBorder="1" applyAlignment="1">
      <alignment horizontal="center"/>
    </xf>
    <xf numFmtId="0" fontId="0" fillId="0" borderId="0" xfId="0" applyAlignment="1"/>
    <xf numFmtId="2" fontId="0" fillId="0" borderId="0" xfId="0" applyNumberFormat="1"/>
    <xf numFmtId="0" fontId="15" fillId="3" borderId="5" xfId="0" applyFont="1" applyFill="1" applyBorder="1" applyAlignment="1">
      <alignment horizontal="center" vertical="center"/>
    </xf>
    <xf numFmtId="0" fontId="16" fillId="5" borderId="5" xfId="0" applyFont="1" applyFill="1" applyBorder="1" applyAlignment="1">
      <alignment horizontal="center" vertical="center"/>
    </xf>
    <xf numFmtId="22" fontId="1" fillId="0" borderId="1" xfId="0" applyNumberFormat="1" applyFont="1" applyBorder="1" applyAlignment="1">
      <alignment horizontal="center"/>
    </xf>
    <xf numFmtId="0" fontId="1" fillId="0" borderId="1" xfId="0" applyNumberFormat="1" applyFont="1" applyBorder="1" applyAlignment="1">
      <alignment horizontal="center"/>
    </xf>
    <xf numFmtId="164" fontId="0" fillId="0" borderId="0" xfId="0" applyNumberFormat="1"/>
    <xf numFmtId="0" fontId="1" fillId="2" borderId="6" xfId="0" applyFont="1" applyFill="1" applyBorder="1" applyAlignment="1">
      <alignment horizontal="center"/>
    </xf>
    <xf numFmtId="0" fontId="0" fillId="0" borderId="0" xfId="0" applyProtection="1"/>
    <xf numFmtId="2" fontId="0" fillId="0" borderId="0" xfId="0" applyNumberFormat="1" applyBorder="1" applyProtection="1"/>
    <xf numFmtId="0" fontId="0" fillId="0" borderId="0" xfId="0" applyBorder="1" applyProtection="1"/>
    <xf numFmtId="2" fontId="0" fillId="0" borderId="0" xfId="0" applyNumberFormat="1" applyProtection="1"/>
    <xf numFmtId="0" fontId="9" fillId="4" borderId="15" xfId="0" applyFont="1" applyFill="1" applyBorder="1" applyAlignment="1" applyProtection="1">
      <alignment horizontal="center" vertical="center" wrapText="1"/>
    </xf>
    <xf numFmtId="0" fontId="11" fillId="0" borderId="22" xfId="0" applyFont="1" applyBorder="1" applyAlignment="1" applyProtection="1">
      <alignment horizontal="center" vertical="center"/>
    </xf>
    <xf numFmtId="0" fontId="11" fillId="0" borderId="24" xfId="0" applyFont="1" applyBorder="1" applyAlignment="1" applyProtection="1">
      <alignment horizontal="center" vertical="center"/>
    </xf>
    <xf numFmtId="9" fontId="8" fillId="0" borderId="21" xfId="1" quotePrefix="1" applyFont="1" applyBorder="1" applyAlignment="1" applyProtection="1">
      <alignment horizontal="center" vertical="center"/>
    </xf>
    <xf numFmtId="9" fontId="8" fillId="0" borderId="22" xfId="1" quotePrefix="1" applyFont="1" applyBorder="1" applyAlignment="1" applyProtection="1">
      <alignment horizontal="center" vertical="center"/>
    </xf>
    <xf numFmtId="165" fontId="9" fillId="4" borderId="15" xfId="0" applyNumberFormat="1" applyFont="1" applyFill="1" applyBorder="1" applyAlignment="1" applyProtection="1">
      <alignment horizontal="center" vertical="center" wrapText="1"/>
    </xf>
    <xf numFmtId="0" fontId="9" fillId="4" borderId="18" xfId="0" applyFont="1" applyFill="1" applyBorder="1" applyAlignment="1" applyProtection="1">
      <alignment horizontal="center" vertical="center" wrapText="1"/>
    </xf>
    <xf numFmtId="0" fontId="9" fillId="4" borderId="28" xfId="0" applyFont="1" applyFill="1" applyBorder="1" applyAlignment="1" applyProtection="1">
      <alignment horizontal="center" vertical="center" wrapText="1"/>
    </xf>
    <xf numFmtId="0" fontId="22" fillId="4" borderId="13" xfId="0" applyFont="1" applyFill="1" applyBorder="1" applyAlignment="1" applyProtection="1">
      <alignment horizontal="center" vertical="center" wrapText="1"/>
    </xf>
    <xf numFmtId="0" fontId="9" fillId="4" borderId="26" xfId="0" applyFont="1" applyFill="1" applyBorder="1" applyAlignment="1" applyProtection="1">
      <alignment horizontal="center" vertical="center" wrapText="1"/>
    </xf>
    <xf numFmtId="0" fontId="7" fillId="0" borderId="0" xfId="0" applyFont="1" applyAlignment="1" applyProtection="1">
      <alignment wrapText="1"/>
    </xf>
    <xf numFmtId="0" fontId="0" fillId="0" borderId="0" xfId="0" applyAlignment="1" applyProtection="1"/>
    <xf numFmtId="0" fontId="7" fillId="0" borderId="0" xfId="0" applyFont="1" applyProtection="1"/>
    <xf numFmtId="166" fontId="0" fillId="0" borderId="0" xfId="0" applyNumberFormat="1" applyProtection="1"/>
    <xf numFmtId="1" fontId="0" fillId="0" borderId="0" xfId="0" applyNumberFormat="1" applyProtection="1"/>
    <xf numFmtId="22" fontId="1" fillId="0" borderId="1" xfId="0" applyNumberFormat="1" applyFont="1" applyBorder="1" applyAlignment="1">
      <alignment horizontal="center"/>
    </xf>
    <xf numFmtId="9" fontId="2" fillId="6" borderId="1" xfId="1" applyFont="1" applyFill="1" applyBorder="1" applyAlignment="1">
      <alignment horizontal="center"/>
    </xf>
    <xf numFmtId="2" fontId="8" fillId="0" borderId="20" xfId="0" quotePrefix="1" applyNumberFormat="1" applyFont="1" applyBorder="1" applyAlignment="1" applyProtection="1">
      <alignment horizontal="center" vertical="center"/>
    </xf>
    <xf numFmtId="2" fontId="8" fillId="0" borderId="34" xfId="0" quotePrefix="1" applyNumberFormat="1" applyFont="1" applyBorder="1" applyAlignment="1" applyProtection="1">
      <alignment horizontal="center" vertical="center"/>
    </xf>
    <xf numFmtId="0" fontId="11" fillId="0" borderId="0" xfId="0" applyFont="1" applyBorder="1" applyAlignment="1" applyProtection="1">
      <alignment horizontal="center" vertical="center"/>
    </xf>
    <xf numFmtId="0" fontId="6" fillId="0" borderId="0" xfId="0" applyFont="1" applyBorder="1" applyAlignment="1" applyProtection="1">
      <alignment horizontal="center" vertical="center"/>
    </xf>
    <xf numFmtId="2" fontId="8" fillId="0" borderId="0" xfId="0" quotePrefix="1" applyNumberFormat="1" applyFont="1" applyBorder="1" applyAlignment="1" applyProtection="1">
      <alignment horizontal="center" vertical="center"/>
    </xf>
    <xf numFmtId="9" fontId="8" fillId="0" borderId="0" xfId="1" quotePrefix="1" applyFont="1" applyBorder="1" applyAlignment="1" applyProtection="1">
      <alignment horizontal="center" vertical="center"/>
    </xf>
    <xf numFmtId="0" fontId="0" fillId="0" borderId="0" xfId="0" applyAlignment="1" applyProtection="1">
      <alignment wrapText="1"/>
    </xf>
    <xf numFmtId="0" fontId="21" fillId="0" borderId="0" xfId="0" applyFont="1" applyAlignment="1" applyProtection="1"/>
    <xf numFmtId="167" fontId="0" fillId="0" borderId="0" xfId="0" applyNumberFormat="1"/>
    <xf numFmtId="0" fontId="0" fillId="0" borderId="0" xfId="0" applyNumberFormat="1"/>
    <xf numFmtId="14" fontId="0" fillId="0" borderId="0" xfId="0" applyNumberFormat="1"/>
    <xf numFmtId="0" fontId="17" fillId="0" borderId="0" xfId="0" applyFont="1" applyAlignment="1">
      <alignment vertical="center"/>
    </xf>
    <xf numFmtId="2" fontId="8" fillId="0" borderId="21" xfId="0" quotePrefix="1" applyNumberFormat="1" applyFont="1" applyBorder="1" applyAlignment="1" applyProtection="1">
      <alignment horizontal="center" vertical="center"/>
    </xf>
    <xf numFmtId="2" fontId="8" fillId="0" borderId="37" xfId="0" quotePrefix="1" applyNumberFormat="1" applyFont="1" applyBorder="1" applyAlignment="1" applyProtection="1">
      <alignment horizontal="center" vertical="center"/>
    </xf>
    <xf numFmtId="0" fontId="1" fillId="7" borderId="1" xfId="0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2" fontId="25" fillId="7" borderId="1" xfId="0" applyNumberFormat="1" applyFont="1" applyFill="1" applyBorder="1" applyAlignment="1">
      <alignment horizontal="center"/>
    </xf>
    <xf numFmtId="0" fontId="0" fillId="0" borderId="0" xfId="0" quotePrefix="1"/>
    <xf numFmtId="22" fontId="1" fillId="0" borderId="1" xfId="0" applyNumberFormat="1" applyFont="1" applyBorder="1" applyAlignment="1">
      <alignment horizontal="center"/>
    </xf>
    <xf numFmtId="22" fontId="1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7" fillId="3" borderId="0" xfId="0" applyFont="1" applyFill="1" applyBorder="1" applyAlignment="1">
      <alignment horizontal="center" vertical="center"/>
    </xf>
    <xf numFmtId="0" fontId="9" fillId="4" borderId="18" xfId="0" applyFont="1" applyFill="1" applyBorder="1" applyAlignment="1" applyProtection="1">
      <alignment horizontal="center" vertical="center" wrapText="1"/>
    </xf>
    <xf numFmtId="0" fontId="9" fillId="4" borderId="27" xfId="0" applyFont="1" applyFill="1" applyBorder="1" applyAlignment="1" applyProtection="1">
      <alignment horizontal="center" vertical="center" wrapText="1"/>
    </xf>
    <xf numFmtId="0" fontId="18" fillId="4" borderId="38" xfId="0" applyFont="1" applyFill="1" applyBorder="1" applyAlignment="1" applyProtection="1">
      <alignment horizontal="center" vertical="center" wrapText="1"/>
    </xf>
    <xf numFmtId="0" fontId="18" fillId="4" borderId="39" xfId="0" applyFont="1" applyFill="1" applyBorder="1" applyAlignment="1" applyProtection="1">
      <alignment horizontal="center" vertical="center" wrapText="1"/>
    </xf>
    <xf numFmtId="0" fontId="18" fillId="4" borderId="26" xfId="0" applyFont="1" applyFill="1" applyBorder="1" applyAlignment="1" applyProtection="1">
      <alignment horizontal="center" vertical="center" wrapText="1"/>
    </xf>
    <xf numFmtId="0" fontId="18" fillId="4" borderId="0" xfId="0" applyFont="1" applyFill="1" applyBorder="1" applyAlignment="1" applyProtection="1">
      <alignment horizontal="center" vertical="center" wrapText="1"/>
    </xf>
    <xf numFmtId="0" fontId="10" fillId="4" borderId="29" xfId="0" applyNumberFormat="1" applyFont="1" applyFill="1" applyBorder="1" applyAlignment="1" applyProtection="1">
      <alignment horizontal="center" vertical="center"/>
    </xf>
    <xf numFmtId="0" fontId="10" fillId="4" borderId="0" xfId="0" applyNumberFormat="1" applyFont="1" applyFill="1" applyBorder="1" applyAlignment="1" applyProtection="1">
      <alignment horizontal="center" vertical="center"/>
    </xf>
    <xf numFmtId="0" fontId="7" fillId="3" borderId="29" xfId="0" applyFont="1" applyFill="1" applyBorder="1" applyAlignment="1" applyProtection="1">
      <alignment horizontal="left" vertical="top" wrapText="1"/>
    </xf>
    <xf numFmtId="0" fontId="7" fillId="3" borderId="0" xfId="0" applyFont="1" applyFill="1" applyBorder="1" applyAlignment="1" applyProtection="1">
      <alignment horizontal="left" vertical="top" wrapText="1"/>
    </xf>
    <xf numFmtId="0" fontId="7" fillId="3" borderId="30" xfId="0" applyFont="1" applyFill="1" applyBorder="1" applyAlignment="1" applyProtection="1">
      <alignment horizontal="left" vertical="top" wrapText="1"/>
    </xf>
    <xf numFmtId="0" fontId="7" fillId="3" borderId="31" xfId="0" applyFont="1" applyFill="1" applyBorder="1" applyAlignment="1" applyProtection="1">
      <alignment horizontal="left" vertical="top" wrapText="1"/>
    </xf>
    <xf numFmtId="0" fontId="7" fillId="3" borderId="32" xfId="0" applyFont="1" applyFill="1" applyBorder="1" applyAlignment="1" applyProtection="1">
      <alignment horizontal="left" vertical="top" wrapText="1"/>
    </xf>
    <xf numFmtId="0" fontId="7" fillId="3" borderId="33" xfId="0" applyFont="1" applyFill="1" applyBorder="1" applyAlignment="1" applyProtection="1">
      <alignment horizontal="left" vertical="top" wrapText="1"/>
    </xf>
    <xf numFmtId="0" fontId="11" fillId="0" borderId="20" xfId="0" applyFont="1" applyBorder="1" applyAlignment="1" applyProtection="1">
      <alignment horizontal="center" vertical="center"/>
    </xf>
    <xf numFmtId="0" fontId="11" fillId="0" borderId="21" xfId="0" applyFont="1" applyBorder="1" applyAlignment="1" applyProtection="1">
      <alignment horizontal="center" vertical="center"/>
    </xf>
    <xf numFmtId="0" fontId="9" fillId="4" borderId="10" xfId="0" applyFont="1" applyFill="1" applyBorder="1" applyAlignment="1" applyProtection="1">
      <alignment horizontal="center" vertical="center" wrapText="1"/>
    </xf>
    <xf numFmtId="0" fontId="9" fillId="4" borderId="14" xfId="0" applyFont="1" applyFill="1" applyBorder="1" applyAlignment="1" applyProtection="1">
      <alignment horizontal="center" vertical="center" wrapText="1"/>
    </xf>
    <xf numFmtId="0" fontId="9" fillId="4" borderId="23" xfId="0" applyFont="1" applyFill="1" applyBorder="1" applyAlignment="1" applyProtection="1">
      <alignment horizontal="center" vertical="center" wrapText="1"/>
    </xf>
    <xf numFmtId="0" fontId="9" fillId="4" borderId="7" xfId="0" applyFont="1" applyFill="1" applyBorder="1" applyAlignment="1" applyProtection="1">
      <alignment horizontal="center" vertical="center" wrapText="1"/>
    </xf>
    <xf numFmtId="0" fontId="9" fillId="4" borderId="8" xfId="0" applyFont="1" applyFill="1" applyBorder="1" applyAlignment="1" applyProtection="1">
      <alignment horizontal="center" vertical="center" wrapText="1"/>
    </xf>
    <xf numFmtId="0" fontId="9" fillId="4" borderId="19" xfId="0" applyFont="1" applyFill="1" applyBorder="1" applyAlignment="1" applyProtection="1">
      <alignment horizontal="center" vertical="center" wrapText="1"/>
    </xf>
    <xf numFmtId="0" fontId="6" fillId="0" borderId="25" xfId="0" applyFont="1" applyBorder="1" applyAlignment="1" applyProtection="1">
      <alignment horizontal="center" vertical="center"/>
    </xf>
    <xf numFmtId="0" fontId="6" fillId="0" borderId="24" xfId="0" applyFont="1" applyBorder="1" applyAlignment="1" applyProtection="1">
      <alignment horizontal="center" vertical="center"/>
    </xf>
    <xf numFmtId="0" fontId="9" fillId="4" borderId="17" xfId="0" applyFont="1" applyFill="1" applyBorder="1" applyAlignment="1" applyProtection="1">
      <alignment horizontal="center" vertical="center" wrapText="1"/>
    </xf>
    <xf numFmtId="0" fontId="9" fillId="4" borderId="26" xfId="0" applyFont="1" applyFill="1" applyBorder="1" applyAlignment="1" applyProtection="1">
      <alignment horizontal="center" vertical="center" wrapText="1"/>
    </xf>
    <xf numFmtId="165" fontId="9" fillId="4" borderId="15" xfId="0" applyNumberFormat="1" applyFont="1" applyFill="1" applyBorder="1" applyAlignment="1" applyProtection="1">
      <alignment horizontal="center" vertical="center" wrapText="1"/>
    </xf>
    <xf numFmtId="165" fontId="9" fillId="4" borderId="16" xfId="0" applyNumberFormat="1" applyFont="1" applyFill="1" applyBorder="1" applyAlignment="1" applyProtection="1">
      <alignment horizontal="center" vertical="center" wrapText="1"/>
    </xf>
    <xf numFmtId="0" fontId="9" fillId="4" borderId="15" xfId="0" applyFont="1" applyFill="1" applyBorder="1" applyAlignment="1" applyProtection="1">
      <alignment horizontal="center" vertical="center" wrapText="1"/>
    </xf>
    <xf numFmtId="0" fontId="9" fillId="4" borderId="16" xfId="0" applyFont="1" applyFill="1" applyBorder="1" applyAlignment="1" applyProtection="1">
      <alignment horizontal="center" vertical="center" wrapText="1"/>
    </xf>
    <xf numFmtId="0" fontId="9" fillId="4" borderId="35" xfId="0" applyFont="1" applyFill="1" applyBorder="1" applyAlignment="1" applyProtection="1">
      <alignment horizontal="center" vertical="center" wrapText="1"/>
    </xf>
    <xf numFmtId="0" fontId="9" fillId="4" borderId="36" xfId="0" applyFont="1" applyFill="1" applyBorder="1" applyAlignment="1" applyProtection="1">
      <alignment horizontal="center" vertical="center" wrapText="1"/>
    </xf>
    <xf numFmtId="0" fontId="9" fillId="4" borderId="28" xfId="0" applyFont="1" applyFill="1" applyBorder="1" applyAlignment="1" applyProtection="1">
      <alignment horizontal="center" vertical="center" wrapText="1"/>
    </xf>
    <xf numFmtId="0" fontId="18" fillId="4" borderId="11" xfId="0" applyFont="1" applyFill="1" applyBorder="1" applyAlignment="1" applyProtection="1">
      <alignment horizontal="center" vertical="center" wrapText="1"/>
    </xf>
    <xf numFmtId="0" fontId="18" fillId="4" borderId="12" xfId="0" applyFont="1" applyFill="1" applyBorder="1" applyAlignment="1" applyProtection="1">
      <alignment horizontal="center" vertical="center" wrapText="1"/>
    </xf>
    <xf numFmtId="165" fontId="9" fillId="4" borderId="28" xfId="0" applyNumberFormat="1" applyFont="1" applyFill="1" applyBorder="1" applyAlignment="1" applyProtection="1">
      <alignment horizontal="center" vertical="center" wrapText="1"/>
    </xf>
    <xf numFmtId="0" fontId="9" fillId="4" borderId="9" xfId="0" applyFont="1" applyFill="1" applyBorder="1" applyAlignment="1" applyProtection="1">
      <alignment horizontal="center" vertical="center" wrapText="1"/>
    </xf>
    <xf numFmtId="0" fontId="22" fillId="4" borderId="11" xfId="0" applyFont="1" applyFill="1" applyBorder="1" applyAlignment="1" applyProtection="1">
      <alignment horizontal="center" vertical="center" wrapText="1"/>
    </xf>
    <xf numFmtId="0" fontId="22" fillId="4" borderId="13" xfId="0" applyFont="1" applyFill="1" applyBorder="1" applyAlignment="1" applyProtection="1">
      <alignment horizontal="center" vertical="center" wrapText="1"/>
    </xf>
    <xf numFmtId="0" fontId="7" fillId="3" borderId="2" xfId="0" quotePrefix="1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</cellXfs>
  <cellStyles count="5">
    <cellStyle name="Normal" xfId="0" builtinId="0"/>
    <cellStyle name="Normal 3" xfId="2" xr:uid="{00000000-0005-0000-0000-000001000000}"/>
    <cellStyle name="Porcentagem" xfId="1" builtinId="5"/>
    <cellStyle name="Vírgula 2" xfId="3" xr:uid="{00000000-0005-0000-0000-000003000000}"/>
    <cellStyle name="Vírgula 3" xfId="4" xr:uid="{00000000-0005-0000-0000-000004000000}"/>
  </cellStyles>
  <dxfs count="0"/>
  <tableStyles count="0" defaultTableStyle="TableStyleMedium2" defaultPivotStyle="PivotStyleMedium9"/>
  <colors>
    <mruColors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'Aux Graficos'!$D$137</c:f>
          <c:strCache>
            <c:ptCount val="1"/>
            <c:pt idx="0">
              <c:v>Emissão Horária - 17/06</c:v>
            </c:pt>
          </c:strCache>
        </c:strRef>
      </c:tx>
      <c:overlay val="0"/>
      <c:spPr>
        <a:solidFill>
          <a:schemeClr val="accent1">
            <a:lumMod val="75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1543897921850679E-2"/>
          <c:y val="0.2544870058429442"/>
          <c:w val="0.8884562157003103"/>
          <c:h val="0.63404986705448119"/>
        </c:manualLayout>
      </c:layout>
      <c:scatterChart>
        <c:scatterStyle val="smoothMarker"/>
        <c:varyColors val="0"/>
        <c:ser>
          <c:idx val="0"/>
          <c:order val="0"/>
          <c:tx>
            <c:v>Emissão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'Aux Graficos'!$D$7:$AA$7</c:f>
              <c:numCache>
                <c:formatCode>m/d/yyyy\ h:mm</c:formatCode>
                <c:ptCount val="24"/>
                <c:pt idx="0">
                  <c:v>44364.041666666664</c:v>
                </c:pt>
                <c:pt idx="1">
                  <c:v>44364.083333333336</c:v>
                </c:pt>
                <c:pt idx="2">
                  <c:v>44364.125</c:v>
                </c:pt>
                <c:pt idx="3">
                  <c:v>44364.166666666664</c:v>
                </c:pt>
                <c:pt idx="4">
                  <c:v>44364.208333333336</c:v>
                </c:pt>
                <c:pt idx="5">
                  <c:v>44364.25</c:v>
                </c:pt>
                <c:pt idx="6">
                  <c:v>44364.291666666664</c:v>
                </c:pt>
                <c:pt idx="7">
                  <c:v>44364.333333333336</c:v>
                </c:pt>
                <c:pt idx="8">
                  <c:v>44364.375</c:v>
                </c:pt>
                <c:pt idx="9">
                  <c:v>44364.416666666664</c:v>
                </c:pt>
                <c:pt idx="10">
                  <c:v>44364.458333333336</c:v>
                </c:pt>
                <c:pt idx="11">
                  <c:v>44364.5</c:v>
                </c:pt>
                <c:pt idx="12">
                  <c:v>44364.541666666664</c:v>
                </c:pt>
                <c:pt idx="13">
                  <c:v>44364.583333333336</c:v>
                </c:pt>
                <c:pt idx="14">
                  <c:v>44364.625</c:v>
                </c:pt>
                <c:pt idx="15">
                  <c:v>44364.666666666664</c:v>
                </c:pt>
                <c:pt idx="16">
                  <c:v>44364.708333333336</c:v>
                </c:pt>
                <c:pt idx="17">
                  <c:v>44364.75</c:v>
                </c:pt>
                <c:pt idx="18">
                  <c:v>44364.791666666664</c:v>
                </c:pt>
                <c:pt idx="19">
                  <c:v>44364.833333333336</c:v>
                </c:pt>
                <c:pt idx="20">
                  <c:v>44364.875</c:v>
                </c:pt>
                <c:pt idx="21">
                  <c:v>44364.916666666664</c:v>
                </c:pt>
                <c:pt idx="22">
                  <c:v>44364.958333333336</c:v>
                </c:pt>
                <c:pt idx="23">
                  <c:v>44365</c:v>
                </c:pt>
              </c:numCache>
            </c:numRef>
          </c:xVal>
          <c:yVal>
            <c:numRef>
              <c:f>'Aux Graficos'!$D$23:$AA$23</c:f>
              <c:numCache>
                <c:formatCode>0.00</c:formatCode>
                <c:ptCount val="24"/>
                <c:pt idx="0">
                  <c:v>0.78224730533292897</c:v>
                </c:pt>
                <c:pt idx="1">
                  <c:v>0.80596878488544743</c:v>
                </c:pt>
                <c:pt idx="2">
                  <c:v>0.82969026443796579</c:v>
                </c:pt>
                <c:pt idx="3">
                  <c:v>0.85341174399048425</c:v>
                </c:pt>
                <c:pt idx="4">
                  <c:v>0.87713322354300249</c:v>
                </c:pt>
                <c:pt idx="5">
                  <c:v>0.893895899785629</c:v>
                </c:pt>
                <c:pt idx="6">
                  <c:v>0.88204391865037413</c:v>
                </c:pt>
                <c:pt idx="7">
                  <c:v>0.8670975749537142</c:v>
                </c:pt>
                <c:pt idx="8">
                  <c:v>0.85215123125705405</c:v>
                </c:pt>
                <c:pt idx="9">
                  <c:v>0.83720488756039413</c:v>
                </c:pt>
                <c:pt idx="10">
                  <c:v>0.82225854386373398</c:v>
                </c:pt>
                <c:pt idx="11">
                  <c:v>0.80731220016707395</c:v>
                </c:pt>
                <c:pt idx="12">
                  <c:v>0.79236585647041391</c:v>
                </c:pt>
                <c:pt idx="13">
                  <c:v>0.77621308471622974</c:v>
                </c:pt>
                <c:pt idx="14">
                  <c:v>0.75621352789089569</c:v>
                </c:pt>
                <c:pt idx="15">
                  <c:v>0.73592703888861921</c:v>
                </c:pt>
                <c:pt idx="16">
                  <c:v>0.71564054988634274</c:v>
                </c:pt>
                <c:pt idx="17">
                  <c:v>0.69535406088406615</c:v>
                </c:pt>
                <c:pt idx="18">
                  <c:v>0.67506757188178956</c:v>
                </c:pt>
                <c:pt idx="19">
                  <c:v>0.65478108287951309</c:v>
                </c:pt>
                <c:pt idx="20">
                  <c:v>0.63449459387723661</c:v>
                </c:pt>
                <c:pt idx="21">
                  <c:v>0.62130454044874295</c:v>
                </c:pt>
                <c:pt idx="22">
                  <c:v>0.62657731088804569</c:v>
                </c:pt>
                <c:pt idx="23">
                  <c:v>0.63280480946278517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B0-483B-936D-16236BE3DB44}"/>
            </c:ext>
          </c:extLst>
        </c:ser>
        <c:ser>
          <c:idx val="1"/>
          <c:order val="1"/>
          <c:tx>
            <c:v>Limite Legal</c:v>
          </c:tx>
          <c:spPr>
            <a:ln w="1905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'Aux Graficos'!$D$75:$AA$75</c:f>
              <c:numCache>
                <c:formatCode>m/d/yyyy\ h:mm</c:formatCode>
                <c:ptCount val="24"/>
                <c:pt idx="0">
                  <c:v>44364.041666666664</c:v>
                </c:pt>
                <c:pt idx="1">
                  <c:v>44364.083333333336</c:v>
                </c:pt>
                <c:pt idx="2">
                  <c:v>44364.125</c:v>
                </c:pt>
                <c:pt idx="3">
                  <c:v>44364.166666666664</c:v>
                </c:pt>
                <c:pt idx="4">
                  <c:v>44364.208333333336</c:v>
                </c:pt>
                <c:pt idx="5">
                  <c:v>44364.25</c:v>
                </c:pt>
                <c:pt idx="6">
                  <c:v>44364.291666666664</c:v>
                </c:pt>
                <c:pt idx="7">
                  <c:v>44364.333333333336</c:v>
                </c:pt>
                <c:pt idx="8">
                  <c:v>44364.375</c:v>
                </c:pt>
                <c:pt idx="9">
                  <c:v>44364.416666666664</c:v>
                </c:pt>
                <c:pt idx="10">
                  <c:v>44364.458333333336</c:v>
                </c:pt>
                <c:pt idx="11">
                  <c:v>44364.5</c:v>
                </c:pt>
                <c:pt idx="12">
                  <c:v>44364.541666666664</c:v>
                </c:pt>
                <c:pt idx="13">
                  <c:v>44364.583333333336</c:v>
                </c:pt>
                <c:pt idx="14">
                  <c:v>44364.625</c:v>
                </c:pt>
                <c:pt idx="15">
                  <c:v>44364.666666666664</c:v>
                </c:pt>
                <c:pt idx="16">
                  <c:v>44364.708333333336</c:v>
                </c:pt>
                <c:pt idx="17">
                  <c:v>44364.75</c:v>
                </c:pt>
                <c:pt idx="18">
                  <c:v>44364.791666666664</c:v>
                </c:pt>
                <c:pt idx="19">
                  <c:v>44364.833333333336</c:v>
                </c:pt>
                <c:pt idx="20">
                  <c:v>44364.875</c:v>
                </c:pt>
                <c:pt idx="21">
                  <c:v>44364.916666666664</c:v>
                </c:pt>
                <c:pt idx="22">
                  <c:v>44364.958333333336</c:v>
                </c:pt>
                <c:pt idx="23">
                  <c:v>44365</c:v>
                </c:pt>
              </c:numCache>
            </c:numRef>
          </c:xVal>
          <c:yVal>
            <c:numRef>
              <c:f>'Aux Graficos'!$D$91:$AA$91</c:f>
              <c:numCache>
                <c:formatCode>General</c:formatCode>
                <c:ptCount val="24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DB0-483B-936D-16236BE3DB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6305296"/>
        <c:axId val="886310784"/>
      </c:scatterChart>
      <c:valAx>
        <c:axId val="886305296"/>
        <c:scaling>
          <c:orientation val="minMax"/>
        </c:scaling>
        <c:delete val="0"/>
        <c:axPos val="b"/>
        <c:numFmt formatCode="h:mm" sourceLinked="0"/>
        <c:majorTickMark val="in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220000" spcFirstLastPara="1" vertOverflow="ellipsis" wrap="square" anchor="t" anchorCtr="0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86310784"/>
        <c:crosses val="autoZero"/>
        <c:crossBetween val="midCat"/>
        <c:majorUnit val="0.1"/>
      </c:valAx>
      <c:valAx>
        <c:axId val="886310784"/>
        <c:scaling>
          <c:orientation val="minMax"/>
          <c:min val="0"/>
        </c:scaling>
        <c:delete val="0"/>
        <c:axPos val="l"/>
        <c:numFmt formatCode="0.00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86305296"/>
        <c:crosses val="autoZero"/>
        <c:crossBetween val="midCat"/>
      </c:valAx>
      <c:spPr>
        <a:solidFill>
          <a:schemeClr val="accent1">
            <a:alpha val="6000"/>
          </a:schemeClr>
        </a:solidFill>
        <a:ln>
          <a:noFill/>
        </a:ln>
        <a:effectLst>
          <a:outerShdw blurRad="50800" dist="50800" dir="5400000" algn="ctr" rotWithShape="0">
            <a:srgbClr val="000000">
              <a:alpha val="0"/>
            </a:srgbClr>
          </a:outerShdw>
        </a:effectLst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accent1">
        <a:lumMod val="75000"/>
        <a:alpha val="0"/>
      </a:schemeClr>
    </a:solidFill>
    <a:ln w="19050" cap="flat" cmpd="sng" algn="ctr">
      <a:solidFill>
        <a:schemeClr val="tx2">
          <a:lumMod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'Aux Graficos'!$D$138</c:f>
          <c:strCache>
            <c:ptCount val="1"/>
            <c:pt idx="0">
              <c:v>Emissão Diária - JUNHO</c:v>
            </c:pt>
          </c:strCache>
        </c:strRef>
      </c:tx>
      <c:overlay val="0"/>
      <c:spPr>
        <a:solidFill>
          <a:schemeClr val="accent1">
            <a:lumMod val="75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1543897921850679E-2"/>
          <c:y val="0.2544870058429442"/>
          <c:w val="0.8884562157003103"/>
          <c:h val="0.63404986705448119"/>
        </c:manualLayout>
      </c:layout>
      <c:scatterChart>
        <c:scatterStyle val="smoothMarker"/>
        <c:varyColors val="0"/>
        <c:ser>
          <c:idx val="0"/>
          <c:order val="0"/>
          <c:tx>
            <c:v>Emissão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'Aux Graficos'!$D$29:$AH$29</c:f>
              <c:numCache>
                <c:formatCode>m/d/yyyy\ h:mm</c:formatCode>
                <c:ptCount val="31"/>
                <c:pt idx="0">
                  <c:v>44348</c:v>
                </c:pt>
                <c:pt idx="1">
                  <c:v>44349</c:v>
                </c:pt>
                <c:pt idx="2">
                  <c:v>44350</c:v>
                </c:pt>
                <c:pt idx="3">
                  <c:v>44351</c:v>
                </c:pt>
                <c:pt idx="4">
                  <c:v>44352</c:v>
                </c:pt>
                <c:pt idx="5">
                  <c:v>44353</c:v>
                </c:pt>
                <c:pt idx="6">
                  <c:v>44354</c:v>
                </c:pt>
                <c:pt idx="7">
                  <c:v>44355</c:v>
                </c:pt>
                <c:pt idx="8">
                  <c:v>44356</c:v>
                </c:pt>
                <c:pt idx="9">
                  <c:v>44357</c:v>
                </c:pt>
                <c:pt idx="10">
                  <c:v>44358</c:v>
                </c:pt>
                <c:pt idx="11">
                  <c:v>44359</c:v>
                </c:pt>
                <c:pt idx="12">
                  <c:v>44360</c:v>
                </c:pt>
                <c:pt idx="13">
                  <c:v>44361</c:v>
                </c:pt>
                <c:pt idx="14">
                  <c:v>44362</c:v>
                </c:pt>
                <c:pt idx="15">
                  <c:v>44363</c:v>
                </c:pt>
                <c:pt idx="16">
                  <c:v>44364</c:v>
                </c:pt>
                <c:pt idx="17">
                  <c:v>44365</c:v>
                </c:pt>
                <c:pt idx="18">
                  <c:v>44366</c:v>
                </c:pt>
                <c:pt idx="19">
                  <c:v>44367</c:v>
                </c:pt>
                <c:pt idx="20">
                  <c:v>44368</c:v>
                </c:pt>
                <c:pt idx="21">
                  <c:v>44369</c:v>
                </c:pt>
                <c:pt idx="22">
                  <c:v>44370</c:v>
                </c:pt>
                <c:pt idx="23">
                  <c:v>44371</c:v>
                </c:pt>
                <c:pt idx="24">
                  <c:v>44372</c:v>
                </c:pt>
                <c:pt idx="25">
                  <c:v>44373</c:v>
                </c:pt>
                <c:pt idx="26">
                  <c:v>44374</c:v>
                </c:pt>
                <c:pt idx="27">
                  <c:v>44375</c:v>
                </c:pt>
                <c:pt idx="28">
                  <c:v>44376</c:v>
                </c:pt>
                <c:pt idx="29">
                  <c:v>44377</c:v>
                </c:pt>
                <c:pt idx="30">
                  <c:v>44347</c:v>
                </c:pt>
              </c:numCache>
            </c:numRef>
          </c:xVal>
          <c:yVal>
            <c:numRef>
              <c:f>'Aux Graficos'!$D$45:$AH$45</c:f>
              <c:numCache>
                <c:formatCode>General</c:formatCode>
                <c:ptCount val="31"/>
                <c:pt idx="0">
                  <c:v>0.76</c:v>
                </c:pt>
                <c:pt idx="1">
                  <c:v>0.7</c:v>
                </c:pt>
                <c:pt idx="2">
                  <c:v>0.43</c:v>
                </c:pt>
                <c:pt idx="3">
                  <c:v>0.52</c:v>
                </c:pt>
                <c:pt idx="4">
                  <c:v>0.63</c:v>
                </c:pt>
                <c:pt idx="5">
                  <c:v>0.61</c:v>
                </c:pt>
                <c:pt idx="6">
                  <c:v>0.55000000000000004</c:v>
                </c:pt>
                <c:pt idx="7">
                  <c:v>0.6</c:v>
                </c:pt>
                <c:pt idx="8">
                  <c:v>0.76</c:v>
                </c:pt>
                <c:pt idx="9">
                  <c:v>0.78</c:v>
                </c:pt>
                <c:pt idx="10">
                  <c:v>0.78</c:v>
                </c:pt>
                <c:pt idx="11">
                  <c:v>0.75</c:v>
                </c:pt>
                <c:pt idx="12">
                  <c:v>0.74</c:v>
                </c:pt>
                <c:pt idx="13">
                  <c:v>0.83</c:v>
                </c:pt>
                <c:pt idx="14">
                  <c:v>0.88</c:v>
                </c:pt>
                <c:pt idx="15">
                  <c:v>0.76</c:v>
                </c:pt>
                <c:pt idx="16">
                  <c:v>0.77</c:v>
                </c:pt>
                <c:pt idx="17">
                  <c:v>0.67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0.83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75-4C9E-BC8C-AB8353109A79}"/>
            </c:ext>
          </c:extLst>
        </c:ser>
        <c:ser>
          <c:idx val="1"/>
          <c:order val="1"/>
          <c:tx>
            <c:v>Limite Legal</c:v>
          </c:tx>
          <c:spPr>
            <a:ln w="1905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'Aux Graficos'!$D$97:$AI$97</c:f>
              <c:numCache>
                <c:formatCode>m/d/yyyy\ h:mm</c:formatCode>
                <c:ptCount val="32"/>
                <c:pt idx="0">
                  <c:v>44348</c:v>
                </c:pt>
                <c:pt idx="1">
                  <c:v>44349</c:v>
                </c:pt>
                <c:pt idx="2">
                  <c:v>44350</c:v>
                </c:pt>
                <c:pt idx="3">
                  <c:v>44351</c:v>
                </c:pt>
                <c:pt idx="4">
                  <c:v>44352</c:v>
                </c:pt>
                <c:pt idx="5">
                  <c:v>44353</c:v>
                </c:pt>
                <c:pt idx="6">
                  <c:v>44354</c:v>
                </c:pt>
                <c:pt idx="7">
                  <c:v>44355</c:v>
                </c:pt>
                <c:pt idx="8">
                  <c:v>44356</c:v>
                </c:pt>
                <c:pt idx="9">
                  <c:v>44357</c:v>
                </c:pt>
                <c:pt idx="10">
                  <c:v>44358</c:v>
                </c:pt>
                <c:pt idx="11">
                  <c:v>44359</c:v>
                </c:pt>
                <c:pt idx="12">
                  <c:v>44360</c:v>
                </c:pt>
                <c:pt idx="13">
                  <c:v>44361</c:v>
                </c:pt>
                <c:pt idx="14">
                  <c:v>44362</c:v>
                </c:pt>
                <c:pt idx="15">
                  <c:v>44363</c:v>
                </c:pt>
                <c:pt idx="16">
                  <c:v>44364</c:v>
                </c:pt>
                <c:pt idx="17">
                  <c:v>44365</c:v>
                </c:pt>
                <c:pt idx="18">
                  <c:v>44366</c:v>
                </c:pt>
                <c:pt idx="19">
                  <c:v>44367</c:v>
                </c:pt>
                <c:pt idx="20">
                  <c:v>44368</c:v>
                </c:pt>
                <c:pt idx="21">
                  <c:v>44369</c:v>
                </c:pt>
                <c:pt idx="22">
                  <c:v>44370</c:v>
                </c:pt>
                <c:pt idx="23">
                  <c:v>44371</c:v>
                </c:pt>
                <c:pt idx="24">
                  <c:v>44372</c:v>
                </c:pt>
                <c:pt idx="25">
                  <c:v>44373</c:v>
                </c:pt>
                <c:pt idx="26">
                  <c:v>44374</c:v>
                </c:pt>
                <c:pt idx="27">
                  <c:v>44375</c:v>
                </c:pt>
                <c:pt idx="28">
                  <c:v>44376</c:v>
                </c:pt>
                <c:pt idx="29">
                  <c:v>44377</c:v>
                </c:pt>
                <c:pt idx="30" formatCode="General">
                  <c:v>44347</c:v>
                </c:pt>
                <c:pt idx="31" formatCode="General">
                  <c:v>0</c:v>
                </c:pt>
              </c:numCache>
            </c:numRef>
          </c:xVal>
          <c:yVal>
            <c:numRef>
              <c:f>'Aux Graficos'!$D$113:$AG$113</c:f>
              <c:numCache>
                <c:formatCode>General</c:formatCode>
                <c:ptCount val="30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75-4C9E-BC8C-AB8353109A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6306864"/>
        <c:axId val="886307256"/>
      </c:scatterChart>
      <c:valAx>
        <c:axId val="886306864"/>
        <c:scaling>
          <c:orientation val="minMax"/>
        </c:scaling>
        <c:delete val="0"/>
        <c:axPos val="b"/>
        <c:numFmt formatCode="dd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64000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86307256"/>
        <c:crosses val="autoZero"/>
        <c:crossBetween val="midCat"/>
        <c:majorUnit val="2"/>
      </c:valAx>
      <c:valAx>
        <c:axId val="886307256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86306864"/>
        <c:crosses val="autoZero"/>
        <c:crossBetween val="midCat"/>
      </c:valAx>
      <c:spPr>
        <a:solidFill>
          <a:schemeClr val="accent1">
            <a:alpha val="6000"/>
          </a:schemeClr>
        </a:solidFill>
        <a:ln>
          <a:noFill/>
        </a:ln>
        <a:effectLst>
          <a:outerShdw blurRad="50800" dist="50800" dir="5400000" algn="ctr" rotWithShape="0">
            <a:srgbClr val="000000">
              <a:alpha val="0"/>
            </a:srgbClr>
          </a:outerShdw>
        </a:effectLst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accent1">
        <a:lumMod val="75000"/>
        <a:alpha val="0"/>
      </a:schemeClr>
    </a:solidFill>
    <a:ln w="19050" cap="flat" cmpd="sng" algn="ctr">
      <a:solidFill>
        <a:schemeClr val="tx2">
          <a:lumMod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'Aux Graficos'!$D$139</c:f>
          <c:strCache>
            <c:ptCount val="1"/>
            <c:pt idx="0">
              <c:v>Emissão Mensal - 2021</c:v>
            </c:pt>
          </c:strCache>
        </c:strRef>
      </c:tx>
      <c:overlay val="0"/>
      <c:spPr>
        <a:solidFill>
          <a:schemeClr val="accent1">
            <a:lumMod val="75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1543897921850679E-2"/>
          <c:y val="0.2544870058429442"/>
          <c:w val="0.8884562157003103"/>
          <c:h val="0.63404986705448119"/>
        </c:manualLayout>
      </c:layout>
      <c:scatterChart>
        <c:scatterStyle val="smoothMarker"/>
        <c:varyColors val="0"/>
        <c:ser>
          <c:idx val="0"/>
          <c:order val="0"/>
          <c:tx>
            <c:v>Emissão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'Aux Graficos'!$D$51:$O$51</c:f>
              <c:numCache>
                <c:formatCode>dd/mmm/yyyy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44197</c:v>
                </c:pt>
                <c:pt idx="6">
                  <c:v>44197</c:v>
                </c:pt>
                <c:pt idx="7">
                  <c:v>44197</c:v>
                </c:pt>
                <c:pt idx="8">
                  <c:v>44197</c:v>
                </c:pt>
                <c:pt idx="9">
                  <c:v>44197</c:v>
                </c:pt>
                <c:pt idx="10">
                  <c:v>44197</c:v>
                </c:pt>
                <c:pt idx="11">
                  <c:v>44197</c:v>
                </c:pt>
              </c:numCache>
            </c:numRef>
          </c:xVal>
          <c:yVal>
            <c:numRef>
              <c:f>'Aux Graficos'!$D$67:$O$67</c:f>
              <c:numCache>
                <c:formatCode>0.00</c:formatCode>
                <c:ptCount val="12"/>
                <c:pt idx="0">
                  <c:v>0.77999997138977051</c:v>
                </c:pt>
                <c:pt idx="1">
                  <c:v>0.69999998807907104</c:v>
                </c:pt>
                <c:pt idx="2">
                  <c:v>0.67000001668930054</c:v>
                </c:pt>
                <c:pt idx="3">
                  <c:v>0.74000000953674316</c:v>
                </c:pt>
                <c:pt idx="4">
                  <c:v>0</c:v>
                </c:pt>
                <c:pt idx="5">
                  <c:v>0.77999997138977051</c:v>
                </c:pt>
                <c:pt idx="6">
                  <c:v>0.77999997138977051</c:v>
                </c:pt>
                <c:pt idx="7">
                  <c:v>0.77999997138977051</c:v>
                </c:pt>
                <c:pt idx="8">
                  <c:v>0.77999997138977051</c:v>
                </c:pt>
                <c:pt idx="9">
                  <c:v>0.77999997138977051</c:v>
                </c:pt>
                <c:pt idx="10">
                  <c:v>0.77999997138977051</c:v>
                </c:pt>
                <c:pt idx="11">
                  <c:v>0.77999997138977051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0AC-4C4C-99AC-FD52A849993C}"/>
            </c:ext>
          </c:extLst>
        </c:ser>
        <c:ser>
          <c:idx val="1"/>
          <c:order val="1"/>
          <c:tx>
            <c:v>Limite Legal</c:v>
          </c:tx>
          <c:spPr>
            <a:ln w="1905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'Aux Graficos'!$D$118:$O$118</c:f>
              <c:numCache>
                <c:formatCode>m/d/yyyy\ h:mm</c:formatCode>
                <c:ptCount val="12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44197</c:v>
                </c:pt>
                <c:pt idx="6">
                  <c:v>44197</c:v>
                </c:pt>
                <c:pt idx="7">
                  <c:v>44197</c:v>
                </c:pt>
                <c:pt idx="8">
                  <c:v>44197</c:v>
                </c:pt>
                <c:pt idx="9">
                  <c:v>44197</c:v>
                </c:pt>
                <c:pt idx="10">
                  <c:v>44197</c:v>
                </c:pt>
                <c:pt idx="11">
                  <c:v>44197</c:v>
                </c:pt>
              </c:numCache>
            </c:numRef>
          </c:xVal>
          <c:yVal>
            <c:numRef>
              <c:f>'Aux Graficos'!$D$134:$O$134</c:f>
              <c:numCache>
                <c:formatCode>General</c:formatCode>
                <c:ptCount val="12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0AC-4C4C-99AC-FD52A84999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6308432"/>
        <c:axId val="886307648"/>
      </c:scatterChart>
      <c:valAx>
        <c:axId val="886308432"/>
        <c:scaling>
          <c:orientation val="minMax"/>
        </c:scaling>
        <c:delete val="0"/>
        <c:axPos val="b"/>
        <c:numFmt formatCode="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372000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86307648"/>
        <c:crosses val="autoZero"/>
        <c:crossBetween val="midCat"/>
        <c:majorUnit val="30"/>
        <c:minorUnit val="0.1"/>
      </c:valAx>
      <c:valAx>
        <c:axId val="886307648"/>
        <c:scaling>
          <c:orientation val="minMax"/>
          <c:min val="0"/>
        </c:scaling>
        <c:delete val="0"/>
        <c:axPos val="l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86308432"/>
        <c:crosses val="autoZero"/>
        <c:crossBetween val="midCat"/>
      </c:valAx>
      <c:spPr>
        <a:solidFill>
          <a:schemeClr val="accent1">
            <a:alpha val="6000"/>
          </a:schemeClr>
        </a:solidFill>
        <a:ln>
          <a:noFill/>
        </a:ln>
        <a:effectLst>
          <a:outerShdw blurRad="50800" dist="50800" dir="5400000" algn="ctr" rotWithShape="0">
            <a:srgbClr val="000000">
              <a:alpha val="0"/>
            </a:srgbClr>
          </a:outerShdw>
        </a:effectLst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accent1">
        <a:lumMod val="75000"/>
        <a:alpha val="0"/>
      </a:schemeClr>
    </a:solidFill>
    <a:ln w="19050" cap="flat" cmpd="sng" algn="ctr">
      <a:solidFill>
        <a:schemeClr val="tx2">
          <a:lumMod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'Aux Graficos'!$D$142</c:f>
          <c:strCache>
            <c:ptCount val="1"/>
            <c:pt idx="0">
              <c:v>%SO3 W3 - JUNHO</c:v>
            </c:pt>
          </c:strCache>
        </c:strRef>
      </c:tx>
      <c:overlay val="0"/>
      <c:spPr>
        <a:solidFill>
          <a:schemeClr val="accent1">
            <a:lumMod val="75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1543897921850679E-2"/>
          <c:y val="0.2544870058429442"/>
          <c:w val="0.8884562157003103"/>
          <c:h val="0.63404986705448119"/>
        </c:manualLayout>
      </c:layout>
      <c:scatterChart>
        <c:scatterStyle val="smoothMarker"/>
        <c:varyColors val="0"/>
        <c:ser>
          <c:idx val="0"/>
          <c:order val="0"/>
          <c:tx>
            <c:v>Nível de %SO3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'SO3'!$J$2:$J$42</c:f>
              <c:numCache>
                <c:formatCode>dd\-mmm\-yy\ hh:mm:ss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xVal>
          <c:yVal>
            <c:numRef>
              <c:f>'SO3'!$K$2:$K$42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ED-408C-BB99-9608E350F718}"/>
            </c:ext>
          </c:extLst>
        </c:ser>
        <c:ser>
          <c:idx val="1"/>
          <c:order val="1"/>
          <c:tx>
            <c:v>Limite Inferior</c:v>
          </c:tx>
          <c:spPr>
            <a:ln w="1905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'SO3'!$J$2:$J$42</c:f>
              <c:numCache>
                <c:formatCode>dd\-mmm\-yy\ hh:mm:ss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xVal>
          <c:yVal>
            <c:numRef>
              <c:f>'SO3'!$L$2:$L$42</c:f>
              <c:numCache>
                <c:formatCode>General</c:formatCode>
                <c:ptCount val="41"/>
                <c:pt idx="0">
                  <c:v>0.4</c:v>
                </c:pt>
                <c:pt idx="1">
                  <c:v>0.4</c:v>
                </c:pt>
                <c:pt idx="2">
                  <c:v>0.4</c:v>
                </c:pt>
                <c:pt idx="3">
                  <c:v>0.4</c:v>
                </c:pt>
                <c:pt idx="4">
                  <c:v>0.4</c:v>
                </c:pt>
                <c:pt idx="5">
                  <c:v>0.4</c:v>
                </c:pt>
                <c:pt idx="6">
                  <c:v>0.4</c:v>
                </c:pt>
                <c:pt idx="7">
                  <c:v>0.4</c:v>
                </c:pt>
                <c:pt idx="8">
                  <c:v>0.4</c:v>
                </c:pt>
                <c:pt idx="9">
                  <c:v>0.4</c:v>
                </c:pt>
                <c:pt idx="10">
                  <c:v>0.4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0.4</c:v>
                </c:pt>
                <c:pt idx="17">
                  <c:v>0.4</c:v>
                </c:pt>
                <c:pt idx="18">
                  <c:v>0.4</c:v>
                </c:pt>
                <c:pt idx="19">
                  <c:v>0.4</c:v>
                </c:pt>
                <c:pt idx="20">
                  <c:v>0.4</c:v>
                </c:pt>
                <c:pt idx="21">
                  <c:v>0.4</c:v>
                </c:pt>
                <c:pt idx="22">
                  <c:v>0.4</c:v>
                </c:pt>
                <c:pt idx="23">
                  <c:v>0.4</c:v>
                </c:pt>
                <c:pt idx="24">
                  <c:v>0.4</c:v>
                </c:pt>
                <c:pt idx="25">
                  <c:v>0.4</c:v>
                </c:pt>
                <c:pt idx="26">
                  <c:v>0.4</c:v>
                </c:pt>
                <c:pt idx="27">
                  <c:v>0.4</c:v>
                </c:pt>
                <c:pt idx="28">
                  <c:v>0.4</c:v>
                </c:pt>
                <c:pt idx="29">
                  <c:v>0.4</c:v>
                </c:pt>
                <c:pt idx="30">
                  <c:v>0.4</c:v>
                </c:pt>
                <c:pt idx="31">
                  <c:v>0.4</c:v>
                </c:pt>
                <c:pt idx="32">
                  <c:v>0.4</c:v>
                </c:pt>
                <c:pt idx="33">
                  <c:v>0.4</c:v>
                </c:pt>
                <c:pt idx="34">
                  <c:v>0.4</c:v>
                </c:pt>
                <c:pt idx="35">
                  <c:v>0.4</c:v>
                </c:pt>
                <c:pt idx="36">
                  <c:v>0.4</c:v>
                </c:pt>
                <c:pt idx="37">
                  <c:v>0.4</c:v>
                </c:pt>
                <c:pt idx="38">
                  <c:v>0.4</c:v>
                </c:pt>
                <c:pt idx="39">
                  <c:v>0.4</c:v>
                </c:pt>
                <c:pt idx="40">
                  <c:v>0.4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ED-408C-BB99-9608E350F7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6305688"/>
        <c:axId val="886299416"/>
      </c:scatterChart>
      <c:valAx>
        <c:axId val="886305688"/>
        <c:scaling>
          <c:orientation val="minMax"/>
        </c:scaling>
        <c:delete val="0"/>
        <c:axPos val="b"/>
        <c:numFmt formatCode="dd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64000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86299416"/>
        <c:crosses val="autoZero"/>
        <c:crossBetween val="midCat"/>
        <c:majorUnit val="2"/>
      </c:valAx>
      <c:valAx>
        <c:axId val="886299416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86305688"/>
        <c:crosses val="autoZero"/>
        <c:crossBetween val="midCat"/>
      </c:valAx>
      <c:spPr>
        <a:solidFill>
          <a:schemeClr val="accent1">
            <a:alpha val="6000"/>
          </a:schemeClr>
        </a:solidFill>
        <a:ln>
          <a:noFill/>
        </a:ln>
        <a:effectLst>
          <a:outerShdw blurRad="50800" dist="50800" dir="5400000" algn="ctr" rotWithShape="0">
            <a:srgbClr val="000000">
              <a:alpha val="0"/>
            </a:srgbClr>
          </a:outerShdw>
        </a:effectLst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accent1">
        <a:lumMod val="75000"/>
        <a:alpha val="0"/>
      </a:schemeClr>
    </a:solidFill>
    <a:ln w="19050" cap="flat" cmpd="sng" algn="ctr">
      <a:solidFill>
        <a:schemeClr val="tx2">
          <a:lumMod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'Aux Graficos'!$D$141</c:f>
          <c:strCache>
            <c:ptCount val="1"/>
            <c:pt idx="0">
              <c:v>%SO3 W2 - JUNHO</c:v>
            </c:pt>
          </c:strCache>
        </c:strRef>
      </c:tx>
      <c:overlay val="0"/>
      <c:spPr>
        <a:solidFill>
          <a:schemeClr val="accent1">
            <a:lumMod val="75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1543897921850679E-2"/>
          <c:y val="0.2544870058429442"/>
          <c:w val="0.8884562157003103"/>
          <c:h val="0.63404986705448119"/>
        </c:manualLayout>
      </c:layout>
      <c:scatterChart>
        <c:scatterStyle val="smoothMarker"/>
        <c:varyColors val="0"/>
        <c:ser>
          <c:idx val="0"/>
          <c:order val="0"/>
          <c:tx>
            <c:v>Nível de %SO3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'SO3'!$D$2:$D$67</c:f>
              <c:numCache>
                <c:formatCode>dd\-mmm\-yy\ hh:mm:ss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xVal>
          <c:yVal>
            <c:numRef>
              <c:f>'SO3'!$E$2:$E$67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2FD-4EDE-A742-5A1852F77A1F}"/>
            </c:ext>
          </c:extLst>
        </c:ser>
        <c:ser>
          <c:idx val="1"/>
          <c:order val="1"/>
          <c:tx>
            <c:v>Limite Inferior</c:v>
          </c:tx>
          <c:spPr>
            <a:ln w="1905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'SO3'!$D$2:$D$67</c:f>
              <c:numCache>
                <c:formatCode>dd\-mmm\-yy\ hh:mm:ss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xVal>
          <c:yVal>
            <c:numRef>
              <c:f>'SO3'!$F$2:$F$67</c:f>
              <c:numCache>
                <c:formatCode>General</c:formatCode>
                <c:ptCount val="66"/>
                <c:pt idx="0">
                  <c:v>0.4</c:v>
                </c:pt>
                <c:pt idx="1">
                  <c:v>0.4</c:v>
                </c:pt>
                <c:pt idx="2">
                  <c:v>0.4</c:v>
                </c:pt>
                <c:pt idx="3">
                  <c:v>0.4</c:v>
                </c:pt>
                <c:pt idx="4">
                  <c:v>0.4</c:v>
                </c:pt>
                <c:pt idx="5">
                  <c:v>0.4</c:v>
                </c:pt>
                <c:pt idx="6">
                  <c:v>0.4</c:v>
                </c:pt>
                <c:pt idx="7">
                  <c:v>0.4</c:v>
                </c:pt>
                <c:pt idx="8">
                  <c:v>0.4</c:v>
                </c:pt>
                <c:pt idx="9">
                  <c:v>0.4</c:v>
                </c:pt>
                <c:pt idx="10">
                  <c:v>0.4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0.4</c:v>
                </c:pt>
                <c:pt idx="17">
                  <c:v>0.4</c:v>
                </c:pt>
                <c:pt idx="18">
                  <c:v>0.4</c:v>
                </c:pt>
                <c:pt idx="19">
                  <c:v>0.4</c:v>
                </c:pt>
                <c:pt idx="20">
                  <c:v>0.4</c:v>
                </c:pt>
                <c:pt idx="21">
                  <c:v>0.4</c:v>
                </c:pt>
                <c:pt idx="22">
                  <c:v>0.4</c:v>
                </c:pt>
                <c:pt idx="23">
                  <c:v>0.4</c:v>
                </c:pt>
                <c:pt idx="24">
                  <c:v>0.4</c:v>
                </c:pt>
                <c:pt idx="25">
                  <c:v>0.4</c:v>
                </c:pt>
                <c:pt idx="26">
                  <c:v>0.4</c:v>
                </c:pt>
                <c:pt idx="27">
                  <c:v>0.4</c:v>
                </c:pt>
                <c:pt idx="28">
                  <c:v>0.4</c:v>
                </c:pt>
                <c:pt idx="29">
                  <c:v>0.4</c:v>
                </c:pt>
                <c:pt idx="30">
                  <c:v>0.4</c:v>
                </c:pt>
                <c:pt idx="31">
                  <c:v>0.4</c:v>
                </c:pt>
                <c:pt idx="32">
                  <c:v>0.4</c:v>
                </c:pt>
                <c:pt idx="33">
                  <c:v>0.4</c:v>
                </c:pt>
                <c:pt idx="34">
                  <c:v>0.4</c:v>
                </c:pt>
                <c:pt idx="35">
                  <c:v>0.4</c:v>
                </c:pt>
                <c:pt idx="36">
                  <c:v>0.4</c:v>
                </c:pt>
                <c:pt idx="37">
                  <c:v>0.4</c:v>
                </c:pt>
                <c:pt idx="38">
                  <c:v>0.4</c:v>
                </c:pt>
                <c:pt idx="39">
                  <c:v>0.4</c:v>
                </c:pt>
                <c:pt idx="40">
                  <c:v>0.4</c:v>
                </c:pt>
                <c:pt idx="41">
                  <c:v>0.4</c:v>
                </c:pt>
                <c:pt idx="42">
                  <c:v>0.4</c:v>
                </c:pt>
                <c:pt idx="43">
                  <c:v>0.4</c:v>
                </c:pt>
                <c:pt idx="44">
                  <c:v>0.4</c:v>
                </c:pt>
                <c:pt idx="45">
                  <c:v>0.4</c:v>
                </c:pt>
                <c:pt idx="46">
                  <c:v>0.4</c:v>
                </c:pt>
                <c:pt idx="47">
                  <c:v>0.4</c:v>
                </c:pt>
                <c:pt idx="48">
                  <c:v>0.4</c:v>
                </c:pt>
                <c:pt idx="49">
                  <c:v>0.4</c:v>
                </c:pt>
                <c:pt idx="50">
                  <c:v>0.4</c:v>
                </c:pt>
                <c:pt idx="51">
                  <c:v>0.4</c:v>
                </c:pt>
                <c:pt idx="52">
                  <c:v>0.4</c:v>
                </c:pt>
                <c:pt idx="53">
                  <c:v>0.4</c:v>
                </c:pt>
                <c:pt idx="54">
                  <c:v>0.4</c:v>
                </c:pt>
                <c:pt idx="55">
                  <c:v>0.4</c:v>
                </c:pt>
                <c:pt idx="56">
                  <c:v>0.4</c:v>
                </c:pt>
                <c:pt idx="57">
                  <c:v>0.4</c:v>
                </c:pt>
                <c:pt idx="58">
                  <c:v>0.4</c:v>
                </c:pt>
                <c:pt idx="59">
                  <c:v>0.4</c:v>
                </c:pt>
                <c:pt idx="60">
                  <c:v>0.4</c:v>
                </c:pt>
                <c:pt idx="61">
                  <c:v>0.4</c:v>
                </c:pt>
                <c:pt idx="62">
                  <c:v>0.4</c:v>
                </c:pt>
                <c:pt idx="63">
                  <c:v>0.4</c:v>
                </c:pt>
                <c:pt idx="64">
                  <c:v>0.4</c:v>
                </c:pt>
                <c:pt idx="65">
                  <c:v>0.4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2FD-4EDE-A742-5A1852F77A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6311176"/>
        <c:axId val="886309608"/>
      </c:scatterChart>
      <c:valAx>
        <c:axId val="886311176"/>
        <c:scaling>
          <c:orientation val="minMax"/>
        </c:scaling>
        <c:delete val="0"/>
        <c:axPos val="b"/>
        <c:numFmt formatCode="dd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64000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86309608"/>
        <c:crosses val="autoZero"/>
        <c:crossBetween val="midCat"/>
        <c:majorUnit val="2"/>
      </c:valAx>
      <c:valAx>
        <c:axId val="886309608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86311176"/>
        <c:crosses val="autoZero"/>
        <c:crossBetween val="midCat"/>
      </c:valAx>
      <c:spPr>
        <a:solidFill>
          <a:schemeClr val="accent1">
            <a:alpha val="6000"/>
          </a:schemeClr>
        </a:solidFill>
        <a:ln>
          <a:noFill/>
        </a:ln>
        <a:effectLst>
          <a:outerShdw blurRad="50800" dist="50800" dir="5400000" algn="ctr" rotWithShape="0">
            <a:srgbClr val="000000">
              <a:alpha val="0"/>
            </a:srgbClr>
          </a:outerShdw>
        </a:effectLst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accent1">
        <a:lumMod val="75000"/>
        <a:alpha val="0"/>
      </a:schemeClr>
    </a:solidFill>
    <a:ln w="19050" cap="flat" cmpd="sng" algn="ctr">
      <a:solidFill>
        <a:schemeClr val="tx2">
          <a:lumMod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g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20</xdr:col>
      <xdr:colOff>151006</xdr:colOff>
      <xdr:row>20</xdr:row>
      <xdr:rowOff>81311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9051" y="19050"/>
          <a:ext cx="13676040" cy="3849029"/>
        </a:xfrm>
        <a:prstGeom prst="rect">
          <a:avLst/>
        </a:prstGeom>
        <a:noFill/>
        <a:ln w="28575">
          <a:solidFill>
            <a:schemeClr val="tx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207459</xdr:colOff>
      <xdr:row>4</xdr:row>
      <xdr:rowOff>120920</xdr:rowOff>
    </xdr:from>
    <xdr:to>
      <xdr:col>6</xdr:col>
      <xdr:colOff>156814</xdr:colOff>
      <xdr:row>19</xdr:row>
      <xdr:rowOff>116158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383323</xdr:colOff>
      <xdr:row>4</xdr:row>
      <xdr:rowOff>104541</xdr:rowOff>
    </xdr:from>
    <xdr:to>
      <xdr:col>12</xdr:col>
      <xdr:colOff>1006398</xdr:colOff>
      <xdr:row>19</xdr:row>
      <xdr:rowOff>99779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1231280</xdr:colOff>
      <xdr:row>4</xdr:row>
      <xdr:rowOff>104543</xdr:rowOff>
    </xdr:from>
    <xdr:to>
      <xdr:col>19</xdr:col>
      <xdr:colOff>460452</xdr:colOff>
      <xdr:row>19</xdr:row>
      <xdr:rowOff>99781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19844</xdr:colOff>
      <xdr:row>0</xdr:row>
      <xdr:rowOff>59531</xdr:rowOff>
    </xdr:from>
    <xdr:to>
      <xdr:col>20</xdr:col>
      <xdr:colOff>99219</xdr:colOff>
      <xdr:row>4</xdr:row>
      <xdr:rowOff>17413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2598"/>
        <a:stretch/>
      </xdr:blipFill>
      <xdr:spPr>
        <a:xfrm>
          <a:off x="10546953" y="59531"/>
          <a:ext cx="3105547" cy="77147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143767</xdr:colOff>
      <xdr:row>5</xdr:row>
      <xdr:rowOff>88605</xdr:rowOff>
    </xdr:from>
    <xdr:to>
      <xdr:col>15</xdr:col>
      <xdr:colOff>159810</xdr:colOff>
      <xdr:row>20</xdr:row>
      <xdr:rowOff>115949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387647</xdr:colOff>
      <xdr:row>5</xdr:row>
      <xdr:rowOff>99680</xdr:rowOff>
    </xdr:from>
    <xdr:to>
      <xdr:col>7</xdr:col>
      <xdr:colOff>403690</xdr:colOff>
      <xdr:row>20</xdr:row>
      <xdr:rowOff>127024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22150</xdr:colOff>
      <xdr:row>0</xdr:row>
      <xdr:rowOff>22151</xdr:rowOff>
    </xdr:from>
    <xdr:to>
      <xdr:col>17</xdr:col>
      <xdr:colOff>199358</xdr:colOff>
      <xdr:row>22</xdr:row>
      <xdr:rowOff>14600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22150" y="22151"/>
          <a:ext cx="10532877" cy="4134716"/>
        </a:xfrm>
        <a:prstGeom prst="rect">
          <a:avLst/>
        </a:prstGeom>
        <a:noFill/>
        <a:ln w="28575">
          <a:solidFill>
            <a:schemeClr val="tx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12</xdr:col>
      <xdr:colOff>110756</xdr:colOff>
      <xdr:row>0</xdr:row>
      <xdr:rowOff>66453</xdr:rowOff>
    </xdr:from>
    <xdr:to>
      <xdr:col>17</xdr:col>
      <xdr:colOff>123488</xdr:colOff>
      <xdr:row>4</xdr:row>
      <xdr:rowOff>77528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2598"/>
        <a:stretch/>
      </xdr:blipFill>
      <xdr:spPr>
        <a:xfrm>
          <a:off x="7420640" y="66453"/>
          <a:ext cx="3058517" cy="76421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0</xdr:row>
          <xdr:rowOff>76200</xdr:rowOff>
        </xdr:from>
        <xdr:to>
          <xdr:col>13</xdr:col>
          <xdr:colOff>428625</xdr:colOff>
          <xdr:row>0</xdr:row>
          <xdr:rowOff>590550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Relatório Diário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76200</xdr:colOff>
          <xdr:row>0</xdr:row>
          <xdr:rowOff>66675</xdr:rowOff>
        </xdr:from>
        <xdr:to>
          <xdr:col>16</xdr:col>
          <xdr:colOff>457200</xdr:colOff>
          <xdr:row>0</xdr:row>
          <xdr:rowOff>581025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Relatório Mensal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1752600</xdr:colOff>
          <xdr:row>3</xdr:row>
          <xdr:rowOff>9525</xdr:rowOff>
        </xdr:from>
        <xdr:to>
          <xdr:col>3</xdr:col>
          <xdr:colOff>1752600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Copiar Dia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</xdr:row>
          <xdr:rowOff>180975</xdr:rowOff>
        </xdr:from>
        <xdr:to>
          <xdr:col>3</xdr:col>
          <xdr:colOff>1752600</xdr:colOff>
          <xdr:row>4</xdr:row>
          <xdr:rowOff>180975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Copiar Mês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3</xdr:row>
          <xdr:rowOff>9525</xdr:rowOff>
        </xdr:from>
        <xdr:to>
          <xdr:col>3</xdr:col>
          <xdr:colOff>1752600</xdr:colOff>
          <xdr:row>5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9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Copiar Ano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M3"/>
  <sheetViews>
    <sheetView showGridLines="0" zoomScale="89" zoomScaleNormal="89" workbookViewId="0">
      <selection activeCell="D23" sqref="D23"/>
    </sheetView>
  </sheetViews>
  <sheetFormatPr defaultRowHeight="15" x14ac:dyDescent="0.25"/>
  <cols>
    <col min="1" max="1" width="5.7109375" customWidth="1"/>
    <col min="2" max="2" width="22.42578125" customWidth="1"/>
    <col min="13" max="13" width="20.85546875" customWidth="1"/>
  </cols>
  <sheetData>
    <row r="1" spans="2:13" x14ac:dyDescent="0.25">
      <c r="D1" s="57" t="str">
        <f>"EMISSÃO DE " &amp; B3</f>
        <v>EMISSÃO DE THC CHAMINE J3P01</v>
      </c>
      <c r="E1" s="57"/>
      <c r="F1" s="57"/>
      <c r="G1" s="57"/>
      <c r="H1" s="57"/>
      <c r="I1" s="57"/>
      <c r="J1" s="57"/>
      <c r="K1" s="57"/>
      <c r="L1" s="57"/>
      <c r="M1" s="57"/>
    </row>
    <row r="2" spans="2:13" ht="18.75" x14ac:dyDescent="0.25">
      <c r="B2" s="11" t="s">
        <v>25</v>
      </c>
      <c r="D2" s="57"/>
      <c r="E2" s="57"/>
      <c r="F2" s="57"/>
      <c r="G2" s="57"/>
      <c r="H2" s="57"/>
      <c r="I2" s="57"/>
      <c r="J2" s="57"/>
      <c r="K2" s="57"/>
      <c r="L2" s="57"/>
      <c r="M2" s="57"/>
    </row>
    <row r="3" spans="2:13" ht="15.75" x14ac:dyDescent="0.25">
      <c r="B3" s="10" t="s">
        <v>48</v>
      </c>
      <c r="D3" s="57"/>
      <c r="E3" s="57"/>
      <c r="F3" s="57"/>
      <c r="G3" s="57"/>
      <c r="H3" s="57"/>
      <c r="I3" s="57"/>
      <c r="J3" s="57"/>
      <c r="K3" s="57"/>
      <c r="L3" s="57"/>
      <c r="M3" s="57"/>
    </row>
  </sheetData>
  <mergeCells count="1">
    <mergeCell ref="D1:M3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'Aux Graficos'!$C$8:$C$21</xm:f>
          </x14:formula1>
          <xm:sqref>B3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3"/>
  <dimension ref="C1:Q4"/>
  <sheetViews>
    <sheetView showGridLines="0" zoomScale="86" zoomScaleNormal="86" workbookViewId="0">
      <selection activeCell="D27" sqref="D27"/>
    </sheetView>
  </sheetViews>
  <sheetFormatPr defaultRowHeight="15" x14ac:dyDescent="0.25"/>
  <sheetData>
    <row r="1" spans="3:17" ht="15" customHeight="1" x14ac:dyDescent="0.25">
      <c r="C1" s="57" t="s">
        <v>67</v>
      </c>
      <c r="D1" s="57"/>
      <c r="E1" s="57"/>
      <c r="F1" s="57"/>
      <c r="G1" s="57"/>
      <c r="H1" s="57"/>
      <c r="I1" s="57"/>
      <c r="J1" s="57"/>
      <c r="K1" s="57"/>
      <c r="L1" s="48"/>
      <c r="M1" s="48"/>
      <c r="N1" s="48"/>
      <c r="O1" s="48"/>
      <c r="P1" s="48"/>
      <c r="Q1" s="48"/>
    </row>
    <row r="2" spans="3:17" ht="15" customHeight="1" x14ac:dyDescent="0.25">
      <c r="C2" s="57"/>
      <c r="D2" s="57"/>
      <c r="E2" s="57"/>
      <c r="F2" s="57"/>
      <c r="G2" s="57"/>
      <c r="H2" s="57"/>
      <c r="I2" s="57"/>
      <c r="J2" s="57"/>
      <c r="K2" s="57"/>
      <c r="L2" s="48"/>
      <c r="M2" s="48"/>
      <c r="N2" s="48"/>
      <c r="O2" s="48"/>
      <c r="P2" s="48"/>
      <c r="Q2" s="48"/>
    </row>
    <row r="3" spans="3:17" ht="15" customHeight="1" x14ac:dyDescent="0.25">
      <c r="C3" s="57"/>
      <c r="D3" s="57"/>
      <c r="E3" s="57"/>
      <c r="F3" s="57"/>
      <c r="G3" s="57"/>
      <c r="H3" s="57"/>
      <c r="I3" s="57"/>
      <c r="J3" s="57"/>
      <c r="K3" s="57"/>
      <c r="L3" s="48"/>
      <c r="M3" s="48"/>
      <c r="N3" s="48"/>
      <c r="O3" s="48"/>
      <c r="P3" s="48"/>
      <c r="Q3" s="48"/>
    </row>
    <row r="4" spans="3:17" x14ac:dyDescent="0.25">
      <c r="C4" s="57"/>
      <c r="D4" s="57"/>
      <c r="E4" s="57"/>
      <c r="F4" s="57"/>
      <c r="G4" s="57"/>
      <c r="H4" s="57"/>
      <c r="I4" s="57"/>
      <c r="J4" s="57"/>
      <c r="K4" s="57"/>
    </row>
  </sheetData>
  <mergeCells count="1">
    <mergeCell ref="C1:K4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"/>
  <dimension ref="A1:L91"/>
  <sheetViews>
    <sheetView workbookViewId="0">
      <selection activeCell="C5" sqref="C5"/>
    </sheetView>
  </sheetViews>
  <sheetFormatPr defaultRowHeight="15" x14ac:dyDescent="0.25"/>
  <cols>
    <col min="1" max="1" width="10.7109375" bestFit="1" customWidth="1"/>
    <col min="2" max="4" width="17.28515625" bestFit="1" customWidth="1"/>
    <col min="9" max="9" width="14.5703125" customWidth="1"/>
    <col min="10" max="10" width="17.28515625" bestFit="1" customWidth="1"/>
  </cols>
  <sheetData>
    <row r="1" spans="1:12" x14ac:dyDescent="0.25">
      <c r="A1" t="s">
        <v>62</v>
      </c>
      <c r="C1" s="45" t="s">
        <v>58</v>
      </c>
      <c r="D1" s="46" t="s">
        <v>60</v>
      </c>
      <c r="E1" t="s">
        <v>59</v>
      </c>
      <c r="F1" t="s">
        <v>64</v>
      </c>
      <c r="I1" s="45" t="s">
        <v>58</v>
      </c>
      <c r="J1" s="46" t="s">
        <v>60</v>
      </c>
      <c r="K1" t="s">
        <v>59</v>
      </c>
      <c r="L1" t="s">
        <v>64</v>
      </c>
    </row>
    <row r="2" spans="1:12" x14ac:dyDescent="0.25">
      <c r="A2" s="47">
        <v>44348</v>
      </c>
      <c r="C2" s="45" t="s">
        <v>57</v>
      </c>
      <c r="D2" s="45" t="e">
        <f t="array" aca="1" ref="D2:E83" ca="1">_xll.PICompDat('SO3'!$C$2,'SO3'!$A$2,'SO3'!$A$3,9,"","inside")</f>
        <v>#NAME?</v>
      </c>
      <c r="E2" s="46" t="e">
        <f ca="1"/>
        <v>#NAME?</v>
      </c>
      <c r="F2">
        <v>0.4</v>
      </c>
      <c r="I2" s="45" t="s">
        <v>61</v>
      </c>
      <c r="J2" s="45" t="e">
        <f t="array" aca="1" ref="J2:K74" ca="1">_xll.PICompDat('SO3'!$I$2,'SO3'!$A$2,'SO3'!$A$3,9,"","inside")</f>
        <v>#NAME?</v>
      </c>
      <c r="K2" s="46" t="e">
        <f ca="1"/>
        <v>#NAME?</v>
      </c>
      <c r="L2">
        <v>0.4</v>
      </c>
    </row>
    <row r="3" spans="1:12" x14ac:dyDescent="0.25">
      <c r="A3" s="47">
        <v>44364</v>
      </c>
      <c r="C3" s="45"/>
      <c r="D3" s="45" t="e">
        <f ca="1"/>
        <v>#NAME?</v>
      </c>
      <c r="E3" s="46" t="e">
        <f ca="1"/>
        <v>#NAME?</v>
      </c>
      <c r="F3">
        <v>0.4</v>
      </c>
      <c r="I3" s="45"/>
      <c r="J3" s="45" t="e">
        <f ca="1"/>
        <v>#NAME?</v>
      </c>
      <c r="K3" s="46" t="e">
        <f ca="1"/>
        <v>#NAME?</v>
      </c>
      <c r="L3">
        <v>0.4</v>
      </c>
    </row>
    <row r="4" spans="1:12" x14ac:dyDescent="0.25">
      <c r="C4" t="s">
        <v>63</v>
      </c>
      <c r="D4" s="45" t="e">
        <f ca="1"/>
        <v>#NAME?</v>
      </c>
      <c r="E4" s="46" t="e">
        <f ca="1"/>
        <v>#NAME?</v>
      </c>
      <c r="F4">
        <v>0.4</v>
      </c>
      <c r="I4" t="s">
        <v>63</v>
      </c>
      <c r="J4" s="45" t="e">
        <f ca="1"/>
        <v>#NAME?</v>
      </c>
      <c r="K4" s="46" t="e">
        <f ca="1"/>
        <v>#NAME?</v>
      </c>
      <c r="L4">
        <v>0.4</v>
      </c>
    </row>
    <row r="5" spans="1:12" x14ac:dyDescent="0.25">
      <c r="C5" s="46" t="e">
        <f t="array" aca="1" ref="C5" ca="1">_xll.PIAdvCalcVal('SO3'!$C$2,'SO3'!$A$2,'SO3'!$A$3,"average (event-weighted)","event-weighted",0,1,0,"")</f>
        <v>#NAME?</v>
      </c>
      <c r="D5" s="45" t="e">
        <f ca="1"/>
        <v>#NAME?</v>
      </c>
      <c r="E5" s="46" t="e">
        <f ca="1"/>
        <v>#NAME?</v>
      </c>
      <c r="F5">
        <v>0.4</v>
      </c>
      <c r="I5" s="46" t="e">
        <f t="array" aca="1" ref="I5" ca="1">_xll.PIAdvCalcVal('SO3'!$I$2,'SO3'!$A$2,'SO3'!$A$3,"average (event-weighted)","event-weighted",0,1,0,"")</f>
        <v>#NAME?</v>
      </c>
      <c r="J5" s="45" t="e">
        <f ca="1"/>
        <v>#NAME?</v>
      </c>
      <c r="K5" s="46" t="e">
        <f ca="1"/>
        <v>#NAME?</v>
      </c>
      <c r="L5">
        <v>0.4</v>
      </c>
    </row>
    <row r="6" spans="1:12" x14ac:dyDescent="0.25">
      <c r="D6" s="45" t="e">
        <f ca="1"/>
        <v>#NAME?</v>
      </c>
      <c r="E6" s="46" t="e">
        <f ca="1"/>
        <v>#NAME?</v>
      </c>
      <c r="F6">
        <v>0.4</v>
      </c>
      <c r="J6" s="45" t="e">
        <f ca="1"/>
        <v>#NAME?</v>
      </c>
      <c r="K6" s="46" t="e">
        <f ca="1"/>
        <v>#NAME?</v>
      </c>
      <c r="L6">
        <v>0.4</v>
      </c>
    </row>
    <row r="7" spans="1:12" x14ac:dyDescent="0.25">
      <c r="D7" s="45" t="e">
        <f ca="1"/>
        <v>#NAME?</v>
      </c>
      <c r="E7" s="46" t="e">
        <f ca="1"/>
        <v>#NAME?</v>
      </c>
      <c r="F7">
        <v>0.4</v>
      </c>
      <c r="J7" s="45" t="e">
        <f ca="1"/>
        <v>#NAME?</v>
      </c>
      <c r="K7" s="46" t="e">
        <f ca="1"/>
        <v>#NAME?</v>
      </c>
      <c r="L7">
        <v>0.4</v>
      </c>
    </row>
    <row r="8" spans="1:12" x14ac:dyDescent="0.25">
      <c r="D8" s="45" t="e">
        <f ca="1"/>
        <v>#NAME?</v>
      </c>
      <c r="E8" s="46" t="e">
        <f ca="1"/>
        <v>#NAME?</v>
      </c>
      <c r="F8">
        <v>0.4</v>
      </c>
      <c r="J8" s="45" t="e">
        <f ca="1"/>
        <v>#NAME?</v>
      </c>
      <c r="K8" s="46" t="e">
        <f ca="1"/>
        <v>#NAME?</v>
      </c>
      <c r="L8">
        <v>0.4</v>
      </c>
    </row>
    <row r="9" spans="1:12" x14ac:dyDescent="0.25">
      <c r="D9" s="45" t="e">
        <f ca="1"/>
        <v>#NAME?</v>
      </c>
      <c r="E9" s="46" t="e">
        <f ca="1"/>
        <v>#NAME?</v>
      </c>
      <c r="F9">
        <v>0.4</v>
      </c>
      <c r="J9" s="45" t="e">
        <f ca="1"/>
        <v>#NAME?</v>
      </c>
      <c r="K9" s="46" t="e">
        <f ca="1"/>
        <v>#NAME?</v>
      </c>
      <c r="L9">
        <v>0.4</v>
      </c>
    </row>
    <row r="10" spans="1:12" x14ac:dyDescent="0.25">
      <c r="D10" s="45" t="e">
        <f ca="1"/>
        <v>#NAME?</v>
      </c>
      <c r="E10" s="46" t="e">
        <f ca="1"/>
        <v>#NAME?</v>
      </c>
      <c r="F10">
        <v>0.4</v>
      </c>
      <c r="J10" s="45" t="e">
        <f ca="1"/>
        <v>#NAME?</v>
      </c>
      <c r="K10" s="46" t="e">
        <f ca="1"/>
        <v>#NAME?</v>
      </c>
      <c r="L10">
        <v>0.4</v>
      </c>
    </row>
    <row r="11" spans="1:12" x14ac:dyDescent="0.25">
      <c r="D11" s="45" t="e">
        <f ca="1"/>
        <v>#NAME?</v>
      </c>
      <c r="E11" s="46" t="e">
        <f ca="1"/>
        <v>#NAME?</v>
      </c>
      <c r="F11">
        <v>0.4</v>
      </c>
      <c r="J11" s="45" t="e">
        <f ca="1"/>
        <v>#NAME?</v>
      </c>
      <c r="K11" s="46" t="e">
        <f ca="1"/>
        <v>#NAME?</v>
      </c>
      <c r="L11">
        <v>0.4</v>
      </c>
    </row>
    <row r="12" spans="1:12" x14ac:dyDescent="0.25">
      <c r="D12" s="45" t="e">
        <f ca="1"/>
        <v>#NAME?</v>
      </c>
      <c r="E12" s="46" t="e">
        <f ca="1"/>
        <v>#NAME?</v>
      </c>
      <c r="F12">
        <v>0.4</v>
      </c>
      <c r="J12" s="45" t="e">
        <f ca="1"/>
        <v>#NAME?</v>
      </c>
      <c r="K12" s="46" t="e">
        <f ca="1"/>
        <v>#NAME?</v>
      </c>
      <c r="L12">
        <v>0.4</v>
      </c>
    </row>
    <row r="13" spans="1:12" x14ac:dyDescent="0.25">
      <c r="D13" s="45" t="e">
        <f ca="1"/>
        <v>#NAME?</v>
      </c>
      <c r="E13" s="46" t="e">
        <f ca="1"/>
        <v>#NAME?</v>
      </c>
      <c r="F13">
        <v>0.4</v>
      </c>
      <c r="J13" s="45" t="e">
        <f ca="1"/>
        <v>#NAME?</v>
      </c>
      <c r="K13" s="46" t="e">
        <f ca="1"/>
        <v>#NAME?</v>
      </c>
      <c r="L13">
        <v>0.4</v>
      </c>
    </row>
    <row r="14" spans="1:12" x14ac:dyDescent="0.25">
      <c r="D14" s="45" t="e">
        <f ca="1"/>
        <v>#NAME?</v>
      </c>
      <c r="E14" s="46" t="e">
        <f ca="1"/>
        <v>#NAME?</v>
      </c>
      <c r="F14">
        <v>0.4</v>
      </c>
      <c r="J14" s="45" t="e">
        <f ca="1"/>
        <v>#NAME?</v>
      </c>
      <c r="K14" s="46" t="e">
        <f ca="1"/>
        <v>#NAME?</v>
      </c>
      <c r="L14">
        <v>0.4</v>
      </c>
    </row>
    <row r="15" spans="1:12" x14ac:dyDescent="0.25">
      <c r="D15" s="45" t="e">
        <f ca="1"/>
        <v>#NAME?</v>
      </c>
      <c r="E15" s="46" t="e">
        <f ca="1"/>
        <v>#NAME?</v>
      </c>
      <c r="F15">
        <v>0.4</v>
      </c>
      <c r="J15" s="45" t="e">
        <f ca="1"/>
        <v>#NAME?</v>
      </c>
      <c r="K15" s="46" t="e">
        <f ca="1"/>
        <v>#NAME?</v>
      </c>
      <c r="L15">
        <v>0.4</v>
      </c>
    </row>
    <row r="16" spans="1:12" x14ac:dyDescent="0.25">
      <c r="D16" s="45" t="e">
        <f ca="1"/>
        <v>#NAME?</v>
      </c>
      <c r="E16" s="46" t="e">
        <f ca="1"/>
        <v>#NAME?</v>
      </c>
      <c r="F16">
        <v>0.4</v>
      </c>
      <c r="J16" s="45" t="e">
        <f ca="1"/>
        <v>#NAME?</v>
      </c>
      <c r="K16" s="46" t="e">
        <f ca="1"/>
        <v>#NAME?</v>
      </c>
      <c r="L16">
        <v>0.4</v>
      </c>
    </row>
    <row r="17" spans="4:12" x14ac:dyDescent="0.25">
      <c r="D17" s="45" t="e">
        <f ca="1"/>
        <v>#NAME?</v>
      </c>
      <c r="E17" s="46" t="e">
        <f ca="1"/>
        <v>#NAME?</v>
      </c>
      <c r="F17">
        <v>0.4</v>
      </c>
      <c r="J17" s="45" t="e">
        <f ca="1"/>
        <v>#NAME?</v>
      </c>
      <c r="K17" s="46" t="e">
        <f ca="1"/>
        <v>#NAME?</v>
      </c>
      <c r="L17">
        <v>0.4</v>
      </c>
    </row>
    <row r="18" spans="4:12" x14ac:dyDescent="0.25">
      <c r="D18" s="45" t="e">
        <f ca="1"/>
        <v>#NAME?</v>
      </c>
      <c r="E18" s="46" t="e">
        <f ca="1"/>
        <v>#NAME?</v>
      </c>
      <c r="F18">
        <v>0.4</v>
      </c>
      <c r="J18" s="45" t="e">
        <f ca="1"/>
        <v>#NAME?</v>
      </c>
      <c r="K18" s="46" t="e">
        <f ca="1"/>
        <v>#NAME?</v>
      </c>
      <c r="L18">
        <v>0.4</v>
      </c>
    </row>
    <row r="19" spans="4:12" x14ac:dyDescent="0.25">
      <c r="D19" s="45" t="e">
        <f ca="1"/>
        <v>#NAME?</v>
      </c>
      <c r="E19" s="46" t="e">
        <f ca="1"/>
        <v>#NAME?</v>
      </c>
      <c r="F19">
        <v>0.4</v>
      </c>
      <c r="J19" s="45" t="e">
        <f ca="1"/>
        <v>#NAME?</v>
      </c>
      <c r="K19" s="46" t="e">
        <f ca="1"/>
        <v>#NAME?</v>
      </c>
      <c r="L19">
        <v>0.4</v>
      </c>
    </row>
    <row r="20" spans="4:12" x14ac:dyDescent="0.25">
      <c r="D20" s="45" t="e">
        <f ca="1"/>
        <v>#NAME?</v>
      </c>
      <c r="E20" s="46" t="e">
        <f ca="1"/>
        <v>#NAME?</v>
      </c>
      <c r="F20">
        <v>0.4</v>
      </c>
      <c r="J20" s="45" t="e">
        <f ca="1"/>
        <v>#NAME?</v>
      </c>
      <c r="K20" s="46" t="e">
        <f ca="1"/>
        <v>#NAME?</v>
      </c>
      <c r="L20">
        <v>0.4</v>
      </c>
    </row>
    <row r="21" spans="4:12" x14ac:dyDescent="0.25">
      <c r="D21" s="45" t="e">
        <f ca="1"/>
        <v>#NAME?</v>
      </c>
      <c r="E21" s="46" t="e">
        <f ca="1"/>
        <v>#NAME?</v>
      </c>
      <c r="F21">
        <v>0.4</v>
      </c>
      <c r="J21" s="45" t="e">
        <f ca="1"/>
        <v>#NAME?</v>
      </c>
      <c r="K21" s="46" t="e">
        <f ca="1"/>
        <v>#NAME?</v>
      </c>
      <c r="L21">
        <v>0.4</v>
      </c>
    </row>
    <row r="22" spans="4:12" x14ac:dyDescent="0.25">
      <c r="D22" s="45" t="e">
        <f ca="1"/>
        <v>#NAME?</v>
      </c>
      <c r="E22" s="46" t="e">
        <f ca="1"/>
        <v>#NAME?</v>
      </c>
      <c r="F22">
        <v>0.4</v>
      </c>
      <c r="J22" s="45" t="e">
        <f ca="1"/>
        <v>#NAME?</v>
      </c>
      <c r="K22" s="46" t="e">
        <f ca="1"/>
        <v>#NAME?</v>
      </c>
      <c r="L22">
        <v>0.4</v>
      </c>
    </row>
    <row r="23" spans="4:12" x14ac:dyDescent="0.25">
      <c r="D23" s="45" t="e">
        <f ca="1"/>
        <v>#NAME?</v>
      </c>
      <c r="E23" s="46" t="e">
        <f ca="1"/>
        <v>#NAME?</v>
      </c>
      <c r="F23">
        <v>0.4</v>
      </c>
      <c r="J23" s="45" t="e">
        <f ca="1"/>
        <v>#NAME?</v>
      </c>
      <c r="K23" s="46" t="e">
        <f ca="1"/>
        <v>#NAME?</v>
      </c>
      <c r="L23">
        <v>0.4</v>
      </c>
    </row>
    <row r="24" spans="4:12" x14ac:dyDescent="0.25">
      <c r="D24" s="45" t="e">
        <f ca="1"/>
        <v>#NAME?</v>
      </c>
      <c r="E24" s="46" t="e">
        <f ca="1"/>
        <v>#NAME?</v>
      </c>
      <c r="F24">
        <v>0.4</v>
      </c>
      <c r="J24" s="45" t="e">
        <f ca="1"/>
        <v>#NAME?</v>
      </c>
      <c r="K24" s="46" t="e">
        <f ca="1"/>
        <v>#NAME?</v>
      </c>
      <c r="L24">
        <v>0.4</v>
      </c>
    </row>
    <row r="25" spans="4:12" x14ac:dyDescent="0.25">
      <c r="D25" s="45" t="e">
        <f ca="1"/>
        <v>#NAME?</v>
      </c>
      <c r="E25" s="46" t="e">
        <f ca="1"/>
        <v>#NAME?</v>
      </c>
      <c r="F25">
        <v>0.4</v>
      </c>
      <c r="J25" s="45" t="e">
        <f ca="1"/>
        <v>#NAME?</v>
      </c>
      <c r="K25" s="46" t="e">
        <f ca="1"/>
        <v>#NAME?</v>
      </c>
      <c r="L25">
        <v>0.4</v>
      </c>
    </row>
    <row r="26" spans="4:12" x14ac:dyDescent="0.25">
      <c r="D26" s="45" t="e">
        <f ca="1"/>
        <v>#NAME?</v>
      </c>
      <c r="E26" s="46" t="e">
        <f ca="1"/>
        <v>#NAME?</v>
      </c>
      <c r="F26">
        <v>0.4</v>
      </c>
      <c r="J26" s="45" t="e">
        <f ca="1"/>
        <v>#NAME?</v>
      </c>
      <c r="K26" s="46" t="e">
        <f ca="1"/>
        <v>#NAME?</v>
      </c>
      <c r="L26">
        <v>0.4</v>
      </c>
    </row>
    <row r="27" spans="4:12" x14ac:dyDescent="0.25">
      <c r="D27" s="45" t="e">
        <f ca="1"/>
        <v>#NAME?</v>
      </c>
      <c r="E27" s="46" t="e">
        <f ca="1"/>
        <v>#NAME?</v>
      </c>
      <c r="F27">
        <v>0.4</v>
      </c>
      <c r="J27" s="45" t="e">
        <f ca="1"/>
        <v>#NAME?</v>
      </c>
      <c r="K27" s="46" t="e">
        <f ca="1"/>
        <v>#NAME?</v>
      </c>
      <c r="L27">
        <v>0.4</v>
      </c>
    </row>
    <row r="28" spans="4:12" x14ac:dyDescent="0.25">
      <c r="D28" s="45" t="e">
        <f ca="1"/>
        <v>#NAME?</v>
      </c>
      <c r="E28" s="46" t="e">
        <f ca="1"/>
        <v>#NAME?</v>
      </c>
      <c r="F28">
        <v>0.4</v>
      </c>
      <c r="J28" s="45" t="e">
        <f ca="1"/>
        <v>#NAME?</v>
      </c>
      <c r="K28" s="46" t="e">
        <f ca="1"/>
        <v>#NAME?</v>
      </c>
      <c r="L28">
        <v>0.4</v>
      </c>
    </row>
    <row r="29" spans="4:12" x14ac:dyDescent="0.25">
      <c r="D29" s="45" t="e">
        <f ca="1"/>
        <v>#NAME?</v>
      </c>
      <c r="E29" s="46" t="e">
        <f ca="1"/>
        <v>#NAME?</v>
      </c>
      <c r="F29">
        <v>0.4</v>
      </c>
      <c r="J29" s="45" t="e">
        <f ca="1"/>
        <v>#NAME?</v>
      </c>
      <c r="K29" s="46" t="e">
        <f ca="1"/>
        <v>#NAME?</v>
      </c>
      <c r="L29">
        <v>0.4</v>
      </c>
    </row>
    <row r="30" spans="4:12" x14ac:dyDescent="0.25">
      <c r="D30" s="45" t="e">
        <f ca="1"/>
        <v>#NAME?</v>
      </c>
      <c r="E30" s="46" t="e">
        <f ca="1"/>
        <v>#NAME?</v>
      </c>
      <c r="F30">
        <v>0.4</v>
      </c>
      <c r="J30" s="45" t="e">
        <f ca="1"/>
        <v>#NAME?</v>
      </c>
      <c r="K30" s="46" t="e">
        <f ca="1"/>
        <v>#NAME?</v>
      </c>
      <c r="L30">
        <v>0.4</v>
      </c>
    </row>
    <row r="31" spans="4:12" x14ac:dyDescent="0.25">
      <c r="D31" s="45" t="e">
        <f ca="1"/>
        <v>#NAME?</v>
      </c>
      <c r="E31" s="46" t="e">
        <f ca="1"/>
        <v>#NAME?</v>
      </c>
      <c r="F31">
        <v>0.4</v>
      </c>
      <c r="J31" s="45" t="e">
        <f ca="1"/>
        <v>#NAME?</v>
      </c>
      <c r="K31" s="46" t="e">
        <f ca="1"/>
        <v>#NAME?</v>
      </c>
      <c r="L31">
        <v>0.4</v>
      </c>
    </row>
    <row r="32" spans="4:12" x14ac:dyDescent="0.25">
      <c r="D32" s="45" t="e">
        <f ca="1"/>
        <v>#NAME?</v>
      </c>
      <c r="E32" s="46" t="e">
        <f ca="1"/>
        <v>#NAME?</v>
      </c>
      <c r="F32">
        <v>0.4</v>
      </c>
      <c r="J32" s="45" t="e">
        <f ca="1"/>
        <v>#NAME?</v>
      </c>
      <c r="K32" s="46" t="e">
        <f ca="1"/>
        <v>#NAME?</v>
      </c>
      <c r="L32">
        <v>0.4</v>
      </c>
    </row>
    <row r="33" spans="4:12" x14ac:dyDescent="0.25">
      <c r="D33" s="45" t="e">
        <f ca="1"/>
        <v>#NAME?</v>
      </c>
      <c r="E33" s="46" t="e">
        <f ca="1"/>
        <v>#NAME?</v>
      </c>
      <c r="F33">
        <v>0.4</v>
      </c>
      <c r="J33" s="45" t="e">
        <f ca="1"/>
        <v>#NAME?</v>
      </c>
      <c r="K33" s="46" t="e">
        <f ca="1"/>
        <v>#NAME?</v>
      </c>
      <c r="L33">
        <v>0.4</v>
      </c>
    </row>
    <row r="34" spans="4:12" x14ac:dyDescent="0.25">
      <c r="D34" s="45" t="e">
        <f ca="1"/>
        <v>#NAME?</v>
      </c>
      <c r="E34" s="46" t="e">
        <f ca="1"/>
        <v>#NAME?</v>
      </c>
      <c r="F34">
        <v>0.4</v>
      </c>
      <c r="J34" s="45" t="e">
        <f ca="1"/>
        <v>#NAME?</v>
      </c>
      <c r="K34" s="46" t="e">
        <f ca="1"/>
        <v>#NAME?</v>
      </c>
      <c r="L34">
        <v>0.4</v>
      </c>
    </row>
    <row r="35" spans="4:12" x14ac:dyDescent="0.25">
      <c r="D35" s="45" t="e">
        <f ca="1"/>
        <v>#NAME?</v>
      </c>
      <c r="E35" s="46" t="e">
        <f ca="1"/>
        <v>#NAME?</v>
      </c>
      <c r="F35">
        <v>0.4</v>
      </c>
      <c r="J35" s="45" t="e">
        <f ca="1"/>
        <v>#NAME?</v>
      </c>
      <c r="K35" s="46" t="e">
        <f ca="1"/>
        <v>#NAME?</v>
      </c>
      <c r="L35">
        <v>0.4</v>
      </c>
    </row>
    <row r="36" spans="4:12" x14ac:dyDescent="0.25">
      <c r="D36" s="45" t="e">
        <f ca="1"/>
        <v>#NAME?</v>
      </c>
      <c r="E36" s="46" t="e">
        <f ca="1"/>
        <v>#NAME?</v>
      </c>
      <c r="F36">
        <v>0.4</v>
      </c>
      <c r="J36" s="45" t="e">
        <f ca="1"/>
        <v>#NAME?</v>
      </c>
      <c r="K36" s="46" t="e">
        <f ca="1"/>
        <v>#NAME?</v>
      </c>
      <c r="L36">
        <v>0.4</v>
      </c>
    </row>
    <row r="37" spans="4:12" x14ac:dyDescent="0.25">
      <c r="D37" s="45" t="e">
        <f ca="1"/>
        <v>#NAME?</v>
      </c>
      <c r="E37" s="46" t="e">
        <f ca="1"/>
        <v>#NAME?</v>
      </c>
      <c r="F37">
        <v>0.4</v>
      </c>
      <c r="J37" s="45" t="e">
        <f ca="1"/>
        <v>#NAME?</v>
      </c>
      <c r="K37" s="46" t="e">
        <f ca="1"/>
        <v>#NAME?</v>
      </c>
      <c r="L37">
        <v>0.4</v>
      </c>
    </row>
    <row r="38" spans="4:12" x14ac:dyDescent="0.25">
      <c r="D38" s="45" t="e">
        <f ca="1"/>
        <v>#NAME?</v>
      </c>
      <c r="E38" s="46" t="e">
        <f ca="1"/>
        <v>#NAME?</v>
      </c>
      <c r="F38">
        <v>0.4</v>
      </c>
      <c r="J38" s="45" t="e">
        <f ca="1"/>
        <v>#NAME?</v>
      </c>
      <c r="K38" s="46" t="e">
        <f ca="1"/>
        <v>#NAME?</v>
      </c>
      <c r="L38">
        <v>0.4</v>
      </c>
    </row>
    <row r="39" spans="4:12" x14ac:dyDescent="0.25">
      <c r="D39" s="45" t="e">
        <f ca="1"/>
        <v>#NAME?</v>
      </c>
      <c r="E39" s="46" t="e">
        <f ca="1"/>
        <v>#NAME?</v>
      </c>
      <c r="F39">
        <v>0.4</v>
      </c>
      <c r="J39" s="45" t="e">
        <f ca="1"/>
        <v>#NAME?</v>
      </c>
      <c r="K39" s="46" t="e">
        <f ca="1"/>
        <v>#NAME?</v>
      </c>
      <c r="L39">
        <v>0.4</v>
      </c>
    </row>
    <row r="40" spans="4:12" x14ac:dyDescent="0.25">
      <c r="D40" s="45" t="e">
        <f ca="1"/>
        <v>#NAME?</v>
      </c>
      <c r="E40" s="46" t="e">
        <f ca="1"/>
        <v>#NAME?</v>
      </c>
      <c r="F40">
        <v>0.4</v>
      </c>
      <c r="J40" s="45" t="e">
        <f ca="1"/>
        <v>#NAME?</v>
      </c>
      <c r="K40" s="46" t="e">
        <f ca="1"/>
        <v>#NAME?</v>
      </c>
      <c r="L40">
        <v>0.4</v>
      </c>
    </row>
    <row r="41" spans="4:12" x14ac:dyDescent="0.25">
      <c r="D41" s="45" t="e">
        <f ca="1"/>
        <v>#NAME?</v>
      </c>
      <c r="E41" s="46" t="e">
        <f ca="1"/>
        <v>#NAME?</v>
      </c>
      <c r="F41">
        <v>0.4</v>
      </c>
      <c r="J41" s="45" t="e">
        <f ca="1"/>
        <v>#NAME?</v>
      </c>
      <c r="K41" s="46" t="e">
        <f ca="1"/>
        <v>#NAME?</v>
      </c>
      <c r="L41">
        <v>0.4</v>
      </c>
    </row>
    <row r="42" spans="4:12" x14ac:dyDescent="0.25">
      <c r="D42" s="45" t="e">
        <f ca="1"/>
        <v>#NAME?</v>
      </c>
      <c r="E42" s="46" t="e">
        <f ca="1"/>
        <v>#NAME?</v>
      </c>
      <c r="F42">
        <v>0.4</v>
      </c>
      <c r="J42" s="45" t="e">
        <f ca="1"/>
        <v>#NAME?</v>
      </c>
      <c r="K42" s="46" t="e">
        <f ca="1"/>
        <v>#NAME?</v>
      </c>
      <c r="L42">
        <v>0.4</v>
      </c>
    </row>
    <row r="43" spans="4:12" x14ac:dyDescent="0.25">
      <c r="D43" s="45" t="e">
        <f ca="1"/>
        <v>#NAME?</v>
      </c>
      <c r="E43" s="46" t="e">
        <f ca="1"/>
        <v>#NAME?</v>
      </c>
      <c r="F43">
        <v>0.4</v>
      </c>
      <c r="J43" s="45" t="e">
        <f ca="1"/>
        <v>#NAME?</v>
      </c>
      <c r="K43" s="46" t="e">
        <f ca="1"/>
        <v>#NAME?</v>
      </c>
      <c r="L43">
        <v>0.4</v>
      </c>
    </row>
    <row r="44" spans="4:12" x14ac:dyDescent="0.25">
      <c r="D44" s="45" t="e">
        <f ca="1"/>
        <v>#NAME?</v>
      </c>
      <c r="E44" s="46" t="e">
        <f ca="1"/>
        <v>#NAME?</v>
      </c>
      <c r="F44">
        <v>0.4</v>
      </c>
      <c r="J44" s="45" t="e">
        <f ca="1"/>
        <v>#NAME?</v>
      </c>
      <c r="K44" s="46" t="e">
        <f ca="1"/>
        <v>#NAME?</v>
      </c>
      <c r="L44">
        <v>0.4</v>
      </c>
    </row>
    <row r="45" spans="4:12" x14ac:dyDescent="0.25">
      <c r="D45" s="45" t="e">
        <f ca="1"/>
        <v>#NAME?</v>
      </c>
      <c r="E45" s="46" t="e">
        <f ca="1"/>
        <v>#NAME?</v>
      </c>
      <c r="F45">
        <v>0.4</v>
      </c>
      <c r="J45" s="45" t="e">
        <f ca="1"/>
        <v>#NAME?</v>
      </c>
      <c r="K45" s="46" t="e">
        <f ca="1"/>
        <v>#NAME?</v>
      </c>
      <c r="L45">
        <v>0.4</v>
      </c>
    </row>
    <row r="46" spans="4:12" x14ac:dyDescent="0.25">
      <c r="D46" s="45" t="e">
        <f ca="1"/>
        <v>#NAME?</v>
      </c>
      <c r="E46" s="46" t="e">
        <f ca="1"/>
        <v>#NAME?</v>
      </c>
      <c r="F46">
        <v>0.4</v>
      </c>
      <c r="J46" s="45" t="e">
        <f ca="1"/>
        <v>#NAME?</v>
      </c>
      <c r="K46" s="46" t="e">
        <f ca="1"/>
        <v>#NAME?</v>
      </c>
      <c r="L46">
        <v>0.4</v>
      </c>
    </row>
    <row r="47" spans="4:12" x14ac:dyDescent="0.25">
      <c r="D47" s="45" t="e">
        <f ca="1"/>
        <v>#NAME?</v>
      </c>
      <c r="E47" s="46" t="e">
        <f ca="1"/>
        <v>#NAME?</v>
      </c>
      <c r="F47">
        <v>0.4</v>
      </c>
      <c r="J47" s="45" t="e">
        <f ca="1"/>
        <v>#NAME?</v>
      </c>
      <c r="K47" s="46" t="e">
        <f ca="1"/>
        <v>#NAME?</v>
      </c>
      <c r="L47">
        <v>0.4</v>
      </c>
    </row>
    <row r="48" spans="4:12" x14ac:dyDescent="0.25">
      <c r="D48" s="45" t="e">
        <f ca="1"/>
        <v>#NAME?</v>
      </c>
      <c r="E48" s="46" t="e">
        <f ca="1"/>
        <v>#NAME?</v>
      </c>
      <c r="F48">
        <v>0.4</v>
      </c>
      <c r="J48" s="45" t="e">
        <f ca="1"/>
        <v>#NAME?</v>
      </c>
      <c r="K48" s="46" t="e">
        <f ca="1"/>
        <v>#NAME?</v>
      </c>
      <c r="L48">
        <v>0.4</v>
      </c>
    </row>
    <row r="49" spans="4:12" x14ac:dyDescent="0.25">
      <c r="D49" s="45" t="e">
        <f ca="1"/>
        <v>#NAME?</v>
      </c>
      <c r="E49" s="46" t="e">
        <f ca="1"/>
        <v>#NAME?</v>
      </c>
      <c r="F49">
        <v>0.4</v>
      </c>
      <c r="J49" s="45" t="e">
        <f ca="1"/>
        <v>#NAME?</v>
      </c>
      <c r="K49" s="46" t="e">
        <f ca="1"/>
        <v>#NAME?</v>
      </c>
      <c r="L49">
        <v>0.4</v>
      </c>
    </row>
    <row r="50" spans="4:12" x14ac:dyDescent="0.25">
      <c r="D50" s="45" t="e">
        <f ca="1"/>
        <v>#NAME?</v>
      </c>
      <c r="E50" s="46" t="e">
        <f ca="1"/>
        <v>#NAME?</v>
      </c>
      <c r="F50">
        <v>0.4</v>
      </c>
      <c r="J50" s="45" t="e">
        <f ca="1"/>
        <v>#NAME?</v>
      </c>
      <c r="K50" s="46" t="e">
        <f ca="1"/>
        <v>#NAME?</v>
      </c>
      <c r="L50">
        <v>0.4</v>
      </c>
    </row>
    <row r="51" spans="4:12" x14ac:dyDescent="0.25">
      <c r="D51" s="45" t="e">
        <f ca="1"/>
        <v>#NAME?</v>
      </c>
      <c r="E51" s="46" t="e">
        <f ca="1"/>
        <v>#NAME?</v>
      </c>
      <c r="F51">
        <v>0.4</v>
      </c>
      <c r="J51" s="45" t="e">
        <f ca="1"/>
        <v>#NAME?</v>
      </c>
      <c r="K51" s="46" t="e">
        <f ca="1"/>
        <v>#NAME?</v>
      </c>
      <c r="L51">
        <v>0.4</v>
      </c>
    </row>
    <row r="52" spans="4:12" x14ac:dyDescent="0.25">
      <c r="D52" s="45" t="e">
        <f ca="1"/>
        <v>#NAME?</v>
      </c>
      <c r="E52" s="46" t="e">
        <f ca="1"/>
        <v>#NAME?</v>
      </c>
      <c r="F52">
        <v>0.4</v>
      </c>
      <c r="J52" s="45" t="e">
        <f ca="1"/>
        <v>#NAME?</v>
      </c>
      <c r="K52" s="46" t="e">
        <f ca="1"/>
        <v>#NAME?</v>
      </c>
      <c r="L52">
        <v>0.4</v>
      </c>
    </row>
    <row r="53" spans="4:12" x14ac:dyDescent="0.25">
      <c r="D53" s="45" t="e">
        <f ca="1"/>
        <v>#NAME?</v>
      </c>
      <c r="E53" s="46" t="e">
        <f ca="1"/>
        <v>#NAME?</v>
      </c>
      <c r="F53">
        <v>0.4</v>
      </c>
      <c r="J53" s="45" t="e">
        <f ca="1"/>
        <v>#NAME?</v>
      </c>
      <c r="K53" s="46" t="e">
        <f ca="1"/>
        <v>#NAME?</v>
      </c>
      <c r="L53">
        <v>0.4</v>
      </c>
    </row>
    <row r="54" spans="4:12" x14ac:dyDescent="0.25">
      <c r="D54" s="45" t="e">
        <f ca="1"/>
        <v>#NAME?</v>
      </c>
      <c r="E54" s="46" t="e">
        <f ca="1"/>
        <v>#NAME?</v>
      </c>
      <c r="F54">
        <v>0.4</v>
      </c>
      <c r="J54" s="45" t="e">
        <f ca="1"/>
        <v>#NAME?</v>
      </c>
      <c r="K54" s="46" t="e">
        <f ca="1"/>
        <v>#NAME?</v>
      </c>
      <c r="L54">
        <v>0.4</v>
      </c>
    </row>
    <row r="55" spans="4:12" x14ac:dyDescent="0.25">
      <c r="D55" s="45" t="e">
        <f ca="1"/>
        <v>#NAME?</v>
      </c>
      <c r="E55" s="46" t="e">
        <f ca="1"/>
        <v>#NAME?</v>
      </c>
      <c r="F55">
        <v>0.4</v>
      </c>
      <c r="J55" s="45" t="e">
        <f ca="1"/>
        <v>#NAME?</v>
      </c>
      <c r="K55" s="46" t="e">
        <f ca="1"/>
        <v>#NAME?</v>
      </c>
      <c r="L55">
        <v>0.4</v>
      </c>
    </row>
    <row r="56" spans="4:12" x14ac:dyDescent="0.25">
      <c r="D56" s="45" t="e">
        <f ca="1"/>
        <v>#NAME?</v>
      </c>
      <c r="E56" s="46" t="e">
        <f ca="1"/>
        <v>#NAME?</v>
      </c>
      <c r="F56">
        <v>0.4</v>
      </c>
      <c r="J56" s="45" t="e">
        <f ca="1"/>
        <v>#NAME?</v>
      </c>
      <c r="K56" s="46" t="e">
        <f ca="1"/>
        <v>#NAME?</v>
      </c>
      <c r="L56">
        <v>0.4</v>
      </c>
    </row>
    <row r="57" spans="4:12" x14ac:dyDescent="0.25">
      <c r="D57" s="45" t="e">
        <f ca="1"/>
        <v>#NAME?</v>
      </c>
      <c r="E57" s="46" t="e">
        <f ca="1"/>
        <v>#NAME?</v>
      </c>
      <c r="F57">
        <v>0.4</v>
      </c>
      <c r="J57" s="45" t="e">
        <f ca="1"/>
        <v>#NAME?</v>
      </c>
      <c r="K57" s="46" t="e">
        <f ca="1"/>
        <v>#NAME?</v>
      </c>
      <c r="L57">
        <v>0.4</v>
      </c>
    </row>
    <row r="58" spans="4:12" x14ac:dyDescent="0.25">
      <c r="D58" s="45" t="e">
        <f ca="1"/>
        <v>#NAME?</v>
      </c>
      <c r="E58" s="46" t="e">
        <f ca="1"/>
        <v>#NAME?</v>
      </c>
      <c r="F58">
        <v>0.4</v>
      </c>
      <c r="J58" s="45" t="e">
        <f ca="1"/>
        <v>#NAME?</v>
      </c>
      <c r="K58" s="46" t="e">
        <f ca="1"/>
        <v>#NAME?</v>
      </c>
      <c r="L58">
        <v>0.4</v>
      </c>
    </row>
    <row r="59" spans="4:12" x14ac:dyDescent="0.25">
      <c r="D59" s="45" t="e">
        <f ca="1"/>
        <v>#NAME?</v>
      </c>
      <c r="E59" s="46" t="e">
        <f ca="1"/>
        <v>#NAME?</v>
      </c>
      <c r="F59">
        <v>0.4</v>
      </c>
      <c r="J59" s="45" t="e">
        <f ca="1"/>
        <v>#NAME?</v>
      </c>
      <c r="K59" s="46" t="e">
        <f ca="1"/>
        <v>#NAME?</v>
      </c>
      <c r="L59">
        <v>0.4</v>
      </c>
    </row>
    <row r="60" spans="4:12" x14ac:dyDescent="0.25">
      <c r="D60" s="45" t="e">
        <f ca="1"/>
        <v>#NAME?</v>
      </c>
      <c r="E60" s="46" t="e">
        <f ca="1"/>
        <v>#NAME?</v>
      </c>
      <c r="F60">
        <v>0.4</v>
      </c>
      <c r="J60" s="45" t="e">
        <f ca="1"/>
        <v>#NAME?</v>
      </c>
      <c r="K60" s="46" t="e">
        <f ca="1"/>
        <v>#NAME?</v>
      </c>
      <c r="L60">
        <v>0.4</v>
      </c>
    </row>
    <row r="61" spans="4:12" x14ac:dyDescent="0.25">
      <c r="D61" s="45" t="e">
        <f ca="1"/>
        <v>#NAME?</v>
      </c>
      <c r="E61" s="46" t="e">
        <f ca="1"/>
        <v>#NAME?</v>
      </c>
      <c r="F61">
        <v>0.4</v>
      </c>
      <c r="J61" s="45" t="e">
        <f ca="1"/>
        <v>#NAME?</v>
      </c>
      <c r="K61" s="46" t="e">
        <f ca="1"/>
        <v>#NAME?</v>
      </c>
      <c r="L61">
        <v>0.4</v>
      </c>
    </row>
    <row r="62" spans="4:12" x14ac:dyDescent="0.25">
      <c r="D62" s="45" t="e">
        <f ca="1"/>
        <v>#NAME?</v>
      </c>
      <c r="E62" s="46" t="e">
        <f ca="1"/>
        <v>#NAME?</v>
      </c>
      <c r="F62">
        <v>0.4</v>
      </c>
      <c r="J62" s="45" t="e">
        <f ca="1"/>
        <v>#NAME?</v>
      </c>
      <c r="K62" s="46" t="e">
        <f ca="1"/>
        <v>#NAME?</v>
      </c>
      <c r="L62">
        <v>0.4</v>
      </c>
    </row>
    <row r="63" spans="4:12" x14ac:dyDescent="0.25">
      <c r="D63" s="45" t="e">
        <f ca="1"/>
        <v>#NAME?</v>
      </c>
      <c r="E63" s="46" t="e">
        <f ca="1"/>
        <v>#NAME?</v>
      </c>
      <c r="F63">
        <v>0.4</v>
      </c>
      <c r="J63" s="45" t="e">
        <f ca="1"/>
        <v>#NAME?</v>
      </c>
      <c r="K63" s="46" t="e">
        <f ca="1"/>
        <v>#NAME?</v>
      </c>
      <c r="L63">
        <v>0.4</v>
      </c>
    </row>
    <row r="64" spans="4:12" x14ac:dyDescent="0.25">
      <c r="D64" s="45" t="e">
        <f ca="1"/>
        <v>#NAME?</v>
      </c>
      <c r="E64" s="46" t="e">
        <f ca="1"/>
        <v>#NAME?</v>
      </c>
      <c r="F64">
        <v>0.4</v>
      </c>
      <c r="J64" s="45" t="e">
        <f ca="1"/>
        <v>#NAME?</v>
      </c>
      <c r="K64" s="46" t="e">
        <f ca="1"/>
        <v>#NAME?</v>
      </c>
      <c r="L64">
        <v>0.4</v>
      </c>
    </row>
    <row r="65" spans="4:12" x14ac:dyDescent="0.25">
      <c r="D65" s="45" t="e">
        <f ca="1"/>
        <v>#NAME?</v>
      </c>
      <c r="E65" s="46" t="e">
        <f ca="1"/>
        <v>#NAME?</v>
      </c>
      <c r="F65">
        <v>0.4</v>
      </c>
      <c r="J65" s="45" t="e">
        <f ca="1"/>
        <v>#NAME?</v>
      </c>
      <c r="K65" s="46" t="e">
        <f ca="1"/>
        <v>#NAME?</v>
      </c>
      <c r="L65">
        <v>0.4</v>
      </c>
    </row>
    <row r="66" spans="4:12" x14ac:dyDescent="0.25">
      <c r="D66" s="45" t="e">
        <f ca="1"/>
        <v>#NAME?</v>
      </c>
      <c r="E66" s="46" t="e">
        <f ca="1"/>
        <v>#NAME?</v>
      </c>
      <c r="F66">
        <v>0.4</v>
      </c>
      <c r="J66" s="45" t="e">
        <f ca="1"/>
        <v>#NAME?</v>
      </c>
      <c r="K66" s="46" t="e">
        <f ca="1"/>
        <v>#NAME?</v>
      </c>
      <c r="L66">
        <v>0.4</v>
      </c>
    </row>
    <row r="67" spans="4:12" x14ac:dyDescent="0.25">
      <c r="D67" s="45" t="e">
        <f ca="1"/>
        <v>#NAME?</v>
      </c>
      <c r="E67" s="46" t="e">
        <f ca="1"/>
        <v>#NAME?</v>
      </c>
      <c r="F67">
        <v>0.4</v>
      </c>
      <c r="J67" s="45" t="e">
        <f ca="1"/>
        <v>#NAME?</v>
      </c>
      <c r="K67" s="46" t="e">
        <f ca="1"/>
        <v>#NAME?</v>
      </c>
      <c r="L67">
        <v>0.4</v>
      </c>
    </row>
    <row r="68" spans="4:12" x14ac:dyDescent="0.25">
      <c r="D68" s="45" t="e">
        <f ca="1"/>
        <v>#NAME?</v>
      </c>
      <c r="E68" s="46" t="e">
        <f ca="1"/>
        <v>#NAME?</v>
      </c>
      <c r="F68">
        <v>0.4</v>
      </c>
      <c r="J68" s="45" t="e">
        <f ca="1"/>
        <v>#NAME?</v>
      </c>
      <c r="K68" s="46" t="e">
        <f ca="1"/>
        <v>#NAME?</v>
      </c>
      <c r="L68">
        <v>0.4</v>
      </c>
    </row>
    <row r="69" spans="4:12" x14ac:dyDescent="0.25">
      <c r="D69" s="45" t="e">
        <f ca="1"/>
        <v>#NAME?</v>
      </c>
      <c r="E69" s="46" t="e">
        <f ca="1"/>
        <v>#NAME?</v>
      </c>
      <c r="F69">
        <v>0.4</v>
      </c>
      <c r="J69" s="45" t="e">
        <f ca="1"/>
        <v>#NAME?</v>
      </c>
      <c r="K69" s="46" t="e">
        <f ca="1"/>
        <v>#NAME?</v>
      </c>
      <c r="L69">
        <v>0.4</v>
      </c>
    </row>
    <row r="70" spans="4:12" x14ac:dyDescent="0.25">
      <c r="D70" s="45" t="e">
        <f ca="1"/>
        <v>#NAME?</v>
      </c>
      <c r="E70" s="46" t="e">
        <f ca="1"/>
        <v>#NAME?</v>
      </c>
      <c r="F70">
        <v>0.4</v>
      </c>
      <c r="J70" s="45" t="e">
        <f ca="1"/>
        <v>#NAME?</v>
      </c>
      <c r="K70" s="46" t="e">
        <f ca="1"/>
        <v>#NAME?</v>
      </c>
      <c r="L70">
        <v>0.4</v>
      </c>
    </row>
    <row r="71" spans="4:12" x14ac:dyDescent="0.25">
      <c r="D71" s="45" t="e">
        <f ca="1"/>
        <v>#NAME?</v>
      </c>
      <c r="E71" s="46" t="e">
        <f ca="1"/>
        <v>#NAME?</v>
      </c>
      <c r="F71">
        <v>0.4</v>
      </c>
      <c r="J71" s="45" t="e">
        <f ca="1"/>
        <v>#NAME?</v>
      </c>
      <c r="K71" s="46" t="e">
        <f ca="1"/>
        <v>#NAME?</v>
      </c>
      <c r="L71">
        <v>0.4</v>
      </c>
    </row>
    <row r="72" spans="4:12" x14ac:dyDescent="0.25">
      <c r="D72" s="45" t="e">
        <f ca="1"/>
        <v>#NAME?</v>
      </c>
      <c r="E72" s="46" t="e">
        <f ca="1"/>
        <v>#NAME?</v>
      </c>
      <c r="F72">
        <v>0.4</v>
      </c>
      <c r="J72" s="45" t="e">
        <f ca="1"/>
        <v>#NAME?</v>
      </c>
      <c r="K72" s="46" t="e">
        <f ca="1"/>
        <v>#NAME?</v>
      </c>
      <c r="L72">
        <v>0.4</v>
      </c>
    </row>
    <row r="73" spans="4:12" x14ac:dyDescent="0.25">
      <c r="D73" s="45" t="e">
        <f ca="1"/>
        <v>#NAME?</v>
      </c>
      <c r="E73" s="46" t="e">
        <f ca="1"/>
        <v>#NAME?</v>
      </c>
      <c r="F73">
        <v>0.4</v>
      </c>
      <c r="J73" s="45" t="e">
        <f ca="1"/>
        <v>#NAME?</v>
      </c>
      <c r="K73" s="46" t="e">
        <f ca="1"/>
        <v>#NAME?</v>
      </c>
      <c r="L73">
        <v>0.4</v>
      </c>
    </row>
    <row r="74" spans="4:12" x14ac:dyDescent="0.25">
      <c r="D74" s="45" t="e">
        <f ca="1"/>
        <v>#NAME?</v>
      </c>
      <c r="E74" s="46" t="e">
        <f ca="1"/>
        <v>#NAME?</v>
      </c>
      <c r="F74">
        <v>0.4</v>
      </c>
      <c r="J74" s="45" t="e">
        <f ca="1"/>
        <v>#NAME?</v>
      </c>
      <c r="K74" s="46" t="e">
        <f ca="1"/>
        <v>#NAME?</v>
      </c>
      <c r="L74">
        <v>0.4</v>
      </c>
    </row>
    <row r="75" spans="4:12" x14ac:dyDescent="0.25">
      <c r="D75" s="45" t="e">
        <f ca="1"/>
        <v>#NAME?</v>
      </c>
      <c r="E75" s="46" t="e">
        <f ca="1"/>
        <v>#NAME?</v>
      </c>
      <c r="F75">
        <v>0.4</v>
      </c>
      <c r="L75">
        <v>0.4</v>
      </c>
    </row>
    <row r="76" spans="4:12" x14ac:dyDescent="0.25">
      <c r="D76" s="45" t="e">
        <f ca="1"/>
        <v>#NAME?</v>
      </c>
      <c r="E76" s="46" t="e">
        <f ca="1"/>
        <v>#NAME?</v>
      </c>
      <c r="F76">
        <v>0.4</v>
      </c>
      <c r="L76">
        <v>0.4</v>
      </c>
    </row>
    <row r="77" spans="4:12" x14ac:dyDescent="0.25">
      <c r="D77" s="45" t="e">
        <f ca="1"/>
        <v>#NAME?</v>
      </c>
      <c r="E77" s="46" t="e">
        <f ca="1"/>
        <v>#NAME?</v>
      </c>
      <c r="F77">
        <v>0.4</v>
      </c>
      <c r="L77">
        <v>0.4</v>
      </c>
    </row>
    <row r="78" spans="4:12" x14ac:dyDescent="0.25">
      <c r="D78" s="45" t="e">
        <f ca="1"/>
        <v>#NAME?</v>
      </c>
      <c r="E78" s="46" t="e">
        <f ca="1"/>
        <v>#NAME?</v>
      </c>
      <c r="F78">
        <v>0.4</v>
      </c>
      <c r="L78">
        <v>0.4</v>
      </c>
    </row>
    <row r="79" spans="4:12" x14ac:dyDescent="0.25">
      <c r="D79" s="45" t="e">
        <f ca="1"/>
        <v>#NAME?</v>
      </c>
      <c r="E79" s="46" t="e">
        <f ca="1"/>
        <v>#NAME?</v>
      </c>
      <c r="F79">
        <v>0.4</v>
      </c>
      <c r="L79">
        <v>0.4</v>
      </c>
    </row>
    <row r="80" spans="4:12" x14ac:dyDescent="0.25">
      <c r="D80" s="45" t="e">
        <f ca="1"/>
        <v>#NAME?</v>
      </c>
      <c r="E80" s="46" t="e">
        <f ca="1"/>
        <v>#NAME?</v>
      </c>
      <c r="F80">
        <v>0.4</v>
      </c>
      <c r="L80">
        <v>0.4</v>
      </c>
    </row>
    <row r="81" spans="4:12" x14ac:dyDescent="0.25">
      <c r="D81" s="45" t="e">
        <f ca="1"/>
        <v>#NAME?</v>
      </c>
      <c r="E81" s="46" t="e">
        <f ca="1"/>
        <v>#NAME?</v>
      </c>
      <c r="F81">
        <v>0.4</v>
      </c>
      <c r="L81">
        <v>0.4</v>
      </c>
    </row>
    <row r="82" spans="4:12" x14ac:dyDescent="0.25">
      <c r="D82" s="45" t="e">
        <f ca="1"/>
        <v>#NAME?</v>
      </c>
      <c r="E82" s="46" t="e">
        <f ca="1"/>
        <v>#NAME?</v>
      </c>
      <c r="F82">
        <v>0.4</v>
      </c>
      <c r="L82">
        <v>0.4</v>
      </c>
    </row>
    <row r="83" spans="4:12" x14ac:dyDescent="0.25">
      <c r="D83" s="45" t="e">
        <f ca="1"/>
        <v>#NAME?</v>
      </c>
      <c r="E83" s="46" t="e">
        <f ca="1"/>
        <v>#NAME?</v>
      </c>
      <c r="F83">
        <v>0.4</v>
      </c>
      <c r="L83">
        <v>0.4</v>
      </c>
    </row>
    <row r="84" spans="4:12" x14ac:dyDescent="0.25">
      <c r="F84">
        <v>0.4</v>
      </c>
      <c r="L84">
        <v>0.4</v>
      </c>
    </row>
    <row r="85" spans="4:12" x14ac:dyDescent="0.25">
      <c r="D85" s="46"/>
      <c r="F85">
        <v>0.4</v>
      </c>
      <c r="L85">
        <v>0.4</v>
      </c>
    </row>
    <row r="86" spans="4:12" x14ac:dyDescent="0.25">
      <c r="F86">
        <v>0.4</v>
      </c>
      <c r="L86">
        <v>0.4</v>
      </c>
    </row>
    <row r="87" spans="4:12" x14ac:dyDescent="0.25">
      <c r="F87">
        <v>0.4</v>
      </c>
      <c r="L87">
        <v>0.4</v>
      </c>
    </row>
    <row r="88" spans="4:12" x14ac:dyDescent="0.25">
      <c r="F88">
        <v>0.4</v>
      </c>
      <c r="L88">
        <v>0.4</v>
      </c>
    </row>
    <row r="89" spans="4:12" x14ac:dyDescent="0.25">
      <c r="F89">
        <v>0.4</v>
      </c>
      <c r="L89">
        <v>0.4</v>
      </c>
    </row>
    <row r="90" spans="4:12" x14ac:dyDescent="0.25">
      <c r="F90">
        <v>0.4</v>
      </c>
      <c r="L90">
        <v>0.4</v>
      </c>
    </row>
    <row r="91" spans="4:12" x14ac:dyDescent="0.25">
      <c r="F91">
        <v>0.4</v>
      </c>
      <c r="L91">
        <v>0.4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2"/>
  <dimension ref="B4:AJ142"/>
  <sheetViews>
    <sheetView topLeftCell="A120" workbookViewId="0">
      <selection activeCell="D30" sqref="D30:AG43"/>
    </sheetView>
  </sheetViews>
  <sheetFormatPr defaultRowHeight="15" x14ac:dyDescent="0.25"/>
  <cols>
    <col min="3" max="3" width="19.28515625" customWidth="1"/>
    <col min="4" max="4" width="17.42578125" bestFit="1" customWidth="1"/>
    <col min="5" max="5" width="17" bestFit="1" customWidth="1"/>
    <col min="6" max="6" width="16.85546875" bestFit="1" customWidth="1"/>
    <col min="7" max="8" width="16.140625" bestFit="1" customWidth="1"/>
    <col min="9" max="9" width="16.7109375" bestFit="1" customWidth="1"/>
    <col min="10" max="33" width="15.42578125" bestFit="1" customWidth="1"/>
    <col min="34" max="36" width="15.85546875" bestFit="1" customWidth="1"/>
  </cols>
  <sheetData>
    <row r="4" spans="3:27" ht="18.75" x14ac:dyDescent="0.25">
      <c r="E4" s="58" t="s">
        <v>26</v>
      </c>
      <c r="F4" s="59"/>
      <c r="G4" s="59"/>
      <c r="H4" s="59"/>
      <c r="I4" s="59"/>
      <c r="J4" s="59"/>
    </row>
    <row r="6" spans="3:27" x14ac:dyDescent="0.25">
      <c r="C6">
        <v>1</v>
      </c>
      <c r="D6">
        <f>C6+1</f>
        <v>2</v>
      </c>
      <c r="E6">
        <f t="shared" ref="E6:AA6" si="0">D6+1</f>
        <v>3</v>
      </c>
      <c r="F6">
        <f t="shared" si="0"/>
        <v>4</v>
      </c>
      <c r="G6">
        <f t="shared" si="0"/>
        <v>5</v>
      </c>
      <c r="H6">
        <f t="shared" si="0"/>
        <v>6</v>
      </c>
      <c r="I6">
        <f t="shared" si="0"/>
        <v>7</v>
      </c>
      <c r="J6">
        <f t="shared" si="0"/>
        <v>8</v>
      </c>
      <c r="K6">
        <f t="shared" si="0"/>
        <v>9</v>
      </c>
      <c r="L6">
        <f t="shared" si="0"/>
        <v>10</v>
      </c>
      <c r="M6">
        <f t="shared" si="0"/>
        <v>11</v>
      </c>
      <c r="N6">
        <f t="shared" si="0"/>
        <v>12</v>
      </c>
      <c r="O6">
        <f t="shared" si="0"/>
        <v>13</v>
      </c>
      <c r="P6">
        <f t="shared" si="0"/>
        <v>14</v>
      </c>
      <c r="Q6">
        <f t="shared" si="0"/>
        <v>15</v>
      </c>
      <c r="R6">
        <f t="shared" si="0"/>
        <v>16</v>
      </c>
      <c r="S6">
        <f t="shared" si="0"/>
        <v>17</v>
      </c>
      <c r="T6">
        <f t="shared" si="0"/>
        <v>18</v>
      </c>
      <c r="U6">
        <f t="shared" si="0"/>
        <v>19</v>
      </c>
      <c r="V6">
        <f t="shared" si="0"/>
        <v>20</v>
      </c>
      <c r="W6">
        <f t="shared" si="0"/>
        <v>21</v>
      </c>
      <c r="X6">
        <f t="shared" si="0"/>
        <v>22</v>
      </c>
      <c r="Y6">
        <f t="shared" si="0"/>
        <v>23</v>
      </c>
      <c r="Z6">
        <f t="shared" si="0"/>
        <v>24</v>
      </c>
      <c r="AA6">
        <f t="shared" si="0"/>
        <v>25</v>
      </c>
    </row>
    <row r="7" spans="3:27" x14ac:dyDescent="0.25">
      <c r="D7" s="56">
        <v>44364.041666666664</v>
      </c>
      <c r="E7" s="56">
        <v>44364.083333333336</v>
      </c>
      <c r="F7" s="56">
        <v>44364.125</v>
      </c>
      <c r="G7" s="56">
        <v>44364.166666666664</v>
      </c>
      <c r="H7" s="56">
        <v>44364.208333333336</v>
      </c>
      <c r="I7" s="56">
        <v>44364.25</v>
      </c>
      <c r="J7" s="56">
        <v>44364.291666666664</v>
      </c>
      <c r="K7" s="56">
        <v>44364.333333333336</v>
      </c>
      <c r="L7" s="56">
        <v>44364.375</v>
      </c>
      <c r="M7" s="56">
        <v>44364.416666666664</v>
      </c>
      <c r="N7" s="56">
        <v>44364.458333333336</v>
      </c>
      <c r="O7" s="56">
        <v>44364.5</v>
      </c>
      <c r="P7" s="56">
        <v>44364.541666666664</v>
      </c>
      <c r="Q7" s="56">
        <v>44364.583333333336</v>
      </c>
      <c r="R7" s="56">
        <v>44364.625</v>
      </c>
      <c r="S7" s="56">
        <v>44364.666666666664</v>
      </c>
      <c r="T7" s="56">
        <v>44364.708333333336</v>
      </c>
      <c r="U7" s="56">
        <v>44364.75</v>
      </c>
      <c r="V7" s="56">
        <v>44364.791666666664</v>
      </c>
      <c r="W7" s="56">
        <v>44364.833333333336</v>
      </c>
      <c r="X7" s="56">
        <v>44364.875</v>
      </c>
      <c r="Y7" s="56">
        <v>44364.916666666664</v>
      </c>
      <c r="Z7" s="56">
        <v>44364.958333333336</v>
      </c>
      <c r="AA7" s="56">
        <v>44365</v>
      </c>
    </row>
    <row r="8" spans="3:27" x14ac:dyDescent="0.25">
      <c r="C8" s="1" t="s">
        <v>38</v>
      </c>
      <c r="D8" s="3" t="s">
        <v>36</v>
      </c>
      <c r="E8" s="3" t="s">
        <v>36</v>
      </c>
      <c r="F8" s="3" t="s">
        <v>36</v>
      </c>
      <c r="G8" s="3" t="s">
        <v>36</v>
      </c>
      <c r="H8" s="3" t="s">
        <v>36</v>
      </c>
      <c r="I8" s="3" t="s">
        <v>36</v>
      </c>
      <c r="J8" s="3" t="s">
        <v>36</v>
      </c>
      <c r="K8" s="3" t="s">
        <v>36</v>
      </c>
      <c r="L8" s="3" t="s">
        <v>36</v>
      </c>
      <c r="M8" s="3" t="s">
        <v>36</v>
      </c>
      <c r="N8" s="3" t="s">
        <v>36</v>
      </c>
      <c r="O8" s="3" t="s">
        <v>36</v>
      </c>
      <c r="P8" s="3" t="s">
        <v>36</v>
      </c>
      <c r="Q8" s="3" t="s">
        <v>36</v>
      </c>
      <c r="R8" s="3" t="s">
        <v>36</v>
      </c>
      <c r="S8" s="3" t="s">
        <v>36</v>
      </c>
      <c r="T8" s="3" t="s">
        <v>36</v>
      </c>
      <c r="U8" s="3" t="s">
        <v>36</v>
      </c>
      <c r="V8" s="3" t="s">
        <v>36</v>
      </c>
      <c r="W8" s="3" t="s">
        <v>36</v>
      </c>
      <c r="X8" s="3" t="s">
        <v>36</v>
      </c>
      <c r="Y8" s="3" t="s">
        <v>36</v>
      </c>
      <c r="Z8" s="3" t="s">
        <v>36</v>
      </c>
      <c r="AA8" s="3" t="s">
        <v>36</v>
      </c>
    </row>
    <row r="9" spans="3:27" x14ac:dyDescent="0.25">
      <c r="C9" s="1" t="s">
        <v>39</v>
      </c>
      <c r="D9" s="3" t="s">
        <v>36</v>
      </c>
      <c r="E9" s="3" t="s">
        <v>36</v>
      </c>
      <c r="F9" s="3" t="s">
        <v>36</v>
      </c>
      <c r="G9" s="3" t="s">
        <v>36</v>
      </c>
      <c r="H9" s="3" t="s">
        <v>36</v>
      </c>
      <c r="I9" s="3" t="s">
        <v>36</v>
      </c>
      <c r="J9" s="3" t="s">
        <v>36</v>
      </c>
      <c r="K9" s="3" t="s">
        <v>36</v>
      </c>
      <c r="L9" s="3" t="s">
        <v>36</v>
      </c>
      <c r="M9" s="3" t="s">
        <v>36</v>
      </c>
      <c r="N9" s="3" t="s">
        <v>36</v>
      </c>
      <c r="O9" s="3" t="s">
        <v>36</v>
      </c>
      <c r="P9" s="3" t="s">
        <v>36</v>
      </c>
      <c r="Q9" s="3" t="s">
        <v>36</v>
      </c>
      <c r="R9" s="3" t="s">
        <v>36</v>
      </c>
      <c r="S9" s="3" t="s">
        <v>36</v>
      </c>
      <c r="T9" s="3" t="s">
        <v>36</v>
      </c>
      <c r="U9" s="3" t="s">
        <v>36</v>
      </c>
      <c r="V9" s="3" t="s">
        <v>36</v>
      </c>
      <c r="W9" s="3" t="s">
        <v>36</v>
      </c>
      <c r="X9" s="3" t="s">
        <v>36</v>
      </c>
      <c r="Y9" s="3" t="s">
        <v>36</v>
      </c>
      <c r="Z9" s="3" t="s">
        <v>36</v>
      </c>
      <c r="AA9" s="3" t="s">
        <v>36</v>
      </c>
    </row>
    <row r="10" spans="3:27" x14ac:dyDescent="0.25">
      <c r="C10" s="1" t="s">
        <v>40</v>
      </c>
      <c r="D10" s="3" t="s">
        <v>36</v>
      </c>
      <c r="E10" s="3" t="s">
        <v>36</v>
      </c>
      <c r="F10" s="3" t="s">
        <v>36</v>
      </c>
      <c r="G10" s="3" t="s">
        <v>36</v>
      </c>
      <c r="H10" s="3" t="s">
        <v>36</v>
      </c>
      <c r="I10" s="3" t="s">
        <v>36</v>
      </c>
      <c r="J10" s="3" t="s">
        <v>36</v>
      </c>
      <c r="K10" s="3" t="s">
        <v>36</v>
      </c>
      <c r="L10" s="3" t="s">
        <v>36</v>
      </c>
      <c r="M10" s="3" t="s">
        <v>36</v>
      </c>
      <c r="N10" s="3" t="s">
        <v>36</v>
      </c>
      <c r="O10" s="3" t="s">
        <v>36</v>
      </c>
      <c r="P10" s="3" t="s">
        <v>36</v>
      </c>
      <c r="Q10" s="3" t="s">
        <v>36</v>
      </c>
      <c r="R10" s="3" t="s">
        <v>36</v>
      </c>
      <c r="S10" s="3" t="s">
        <v>36</v>
      </c>
      <c r="T10" s="3" t="s">
        <v>36</v>
      </c>
      <c r="U10" s="3" t="s">
        <v>36</v>
      </c>
      <c r="V10" s="3" t="s">
        <v>36</v>
      </c>
      <c r="W10" s="3" t="s">
        <v>36</v>
      </c>
      <c r="X10" s="3" t="s">
        <v>36</v>
      </c>
      <c r="Y10" s="3" t="s">
        <v>36</v>
      </c>
      <c r="Z10" s="3" t="s">
        <v>36</v>
      </c>
      <c r="AA10" s="3" t="s">
        <v>36</v>
      </c>
    </row>
    <row r="11" spans="3:27" x14ac:dyDescent="0.25">
      <c r="C11" s="1" t="s">
        <v>41</v>
      </c>
      <c r="D11" s="3" t="s">
        <v>36</v>
      </c>
      <c r="E11" s="3" t="s">
        <v>36</v>
      </c>
      <c r="F11" s="3" t="s">
        <v>36</v>
      </c>
      <c r="G11" s="3" t="s">
        <v>36</v>
      </c>
      <c r="H11" s="3" t="s">
        <v>36</v>
      </c>
      <c r="I11" s="3" t="s">
        <v>36</v>
      </c>
      <c r="J11" s="3" t="s">
        <v>36</v>
      </c>
      <c r="K11" s="3" t="s">
        <v>36</v>
      </c>
      <c r="L11" s="3" t="s">
        <v>36</v>
      </c>
      <c r="M11" s="3" t="s">
        <v>36</v>
      </c>
      <c r="N11" s="3" t="s">
        <v>36</v>
      </c>
      <c r="O11" s="3" t="s">
        <v>36</v>
      </c>
      <c r="P11" s="3" t="s">
        <v>36</v>
      </c>
      <c r="Q11" s="3" t="s">
        <v>36</v>
      </c>
      <c r="R11" s="3" t="s">
        <v>36</v>
      </c>
      <c r="S11" s="3" t="s">
        <v>36</v>
      </c>
      <c r="T11" s="3" t="s">
        <v>36</v>
      </c>
      <c r="U11" s="3" t="s">
        <v>36</v>
      </c>
      <c r="V11" s="3" t="s">
        <v>36</v>
      </c>
      <c r="W11" s="3" t="s">
        <v>36</v>
      </c>
      <c r="X11" s="3" t="s">
        <v>36</v>
      </c>
      <c r="Y11" s="3" t="s">
        <v>36</v>
      </c>
      <c r="Z11" s="3" t="s">
        <v>36</v>
      </c>
      <c r="AA11" s="3" t="s">
        <v>36</v>
      </c>
    </row>
    <row r="12" spans="3:27" x14ac:dyDescent="0.25">
      <c r="C12" s="1" t="s">
        <v>42</v>
      </c>
      <c r="D12" s="3" t="s">
        <v>36</v>
      </c>
      <c r="E12" s="3" t="s">
        <v>36</v>
      </c>
      <c r="F12" s="3" t="s">
        <v>36</v>
      </c>
      <c r="G12" s="3" t="s">
        <v>36</v>
      </c>
      <c r="H12" s="3" t="s">
        <v>36</v>
      </c>
      <c r="I12" s="3" t="s">
        <v>36</v>
      </c>
      <c r="J12" s="3" t="s">
        <v>36</v>
      </c>
      <c r="K12" s="3" t="s">
        <v>36</v>
      </c>
      <c r="L12" s="3" t="s">
        <v>36</v>
      </c>
      <c r="M12" s="3" t="s">
        <v>36</v>
      </c>
      <c r="N12" s="3" t="s">
        <v>36</v>
      </c>
      <c r="O12" s="3" t="s">
        <v>36</v>
      </c>
      <c r="P12" s="3" t="s">
        <v>36</v>
      </c>
      <c r="Q12" s="3" t="s">
        <v>36</v>
      </c>
      <c r="R12" s="3" t="s">
        <v>36</v>
      </c>
      <c r="S12" s="3" t="s">
        <v>36</v>
      </c>
      <c r="T12" s="3" t="s">
        <v>36</v>
      </c>
      <c r="U12" s="3" t="s">
        <v>36</v>
      </c>
      <c r="V12" s="3" t="s">
        <v>36</v>
      </c>
      <c r="W12" s="3" t="s">
        <v>36</v>
      </c>
      <c r="X12" s="3" t="s">
        <v>36</v>
      </c>
      <c r="Y12" s="3" t="s">
        <v>36</v>
      </c>
      <c r="Z12" s="3" t="s">
        <v>36</v>
      </c>
      <c r="AA12" s="3" t="s">
        <v>36</v>
      </c>
    </row>
    <row r="13" spans="3:27" x14ac:dyDescent="0.25">
      <c r="C13" s="1" t="s">
        <v>43</v>
      </c>
      <c r="D13" s="3" t="s">
        <v>36</v>
      </c>
      <c r="E13" s="3" t="s">
        <v>36</v>
      </c>
      <c r="F13" s="3" t="s">
        <v>36</v>
      </c>
      <c r="G13" s="3" t="s">
        <v>36</v>
      </c>
      <c r="H13" s="3" t="s">
        <v>36</v>
      </c>
      <c r="I13" s="3" t="s">
        <v>36</v>
      </c>
      <c r="J13" s="3" t="s">
        <v>36</v>
      </c>
      <c r="K13" s="3" t="s">
        <v>36</v>
      </c>
      <c r="L13" s="3" t="s">
        <v>36</v>
      </c>
      <c r="M13" s="3" t="s">
        <v>36</v>
      </c>
      <c r="N13" s="3" t="s">
        <v>36</v>
      </c>
      <c r="O13" s="3" t="s">
        <v>36</v>
      </c>
      <c r="P13" s="3" t="s">
        <v>36</v>
      </c>
      <c r="Q13" s="3" t="s">
        <v>36</v>
      </c>
      <c r="R13" s="3" t="s">
        <v>36</v>
      </c>
      <c r="S13" s="3" t="s">
        <v>36</v>
      </c>
      <c r="T13" s="3" t="s">
        <v>36</v>
      </c>
      <c r="U13" s="3" t="s">
        <v>36</v>
      </c>
      <c r="V13" s="3" t="s">
        <v>36</v>
      </c>
      <c r="W13" s="3" t="s">
        <v>36</v>
      </c>
      <c r="X13" s="3" t="s">
        <v>36</v>
      </c>
      <c r="Y13" s="3" t="s">
        <v>36</v>
      </c>
      <c r="Z13" s="3" t="s">
        <v>36</v>
      </c>
      <c r="AA13" s="3" t="s">
        <v>36</v>
      </c>
    </row>
    <row r="14" spans="3:27" x14ac:dyDescent="0.25">
      <c r="C14" s="1" t="s">
        <v>44</v>
      </c>
      <c r="D14" s="2">
        <v>17.568572183055522</v>
      </c>
      <c r="E14" s="2">
        <v>15.466540939000302</v>
      </c>
      <c r="F14" s="2">
        <v>16.009599385860675</v>
      </c>
      <c r="G14" s="2">
        <v>17.644730338882702</v>
      </c>
      <c r="H14" s="2">
        <v>18.228691780770291</v>
      </c>
      <c r="I14" s="2">
        <v>19.498280591949136</v>
      </c>
      <c r="J14" s="2">
        <v>27.719366733585346</v>
      </c>
      <c r="K14" s="2">
        <v>30.70121058574022</v>
      </c>
      <c r="L14" s="2">
        <v>33.702611253546621</v>
      </c>
      <c r="M14" s="2">
        <v>35.637199323631052</v>
      </c>
      <c r="N14" s="2">
        <v>38.410565366617305</v>
      </c>
      <c r="O14" s="2">
        <v>37.66296784721218</v>
      </c>
      <c r="P14" s="2">
        <v>35.317588217289753</v>
      </c>
      <c r="Q14" s="2">
        <v>35.228955443346017</v>
      </c>
      <c r="R14" s="2">
        <v>42.143504897495902</v>
      </c>
      <c r="S14" s="2">
        <v>41.911493185585037</v>
      </c>
      <c r="T14" s="2">
        <v>37.234084673615655</v>
      </c>
      <c r="U14" s="2">
        <v>33.870854375496769</v>
      </c>
      <c r="V14" s="2">
        <v>33.455513238699972</v>
      </c>
      <c r="W14" s="2">
        <v>36.87059517961525</v>
      </c>
      <c r="X14" s="2">
        <v>34.694399309983623</v>
      </c>
      <c r="Y14" s="2">
        <v>34.935225240054685</v>
      </c>
      <c r="Z14" s="2">
        <v>35.495170741583181</v>
      </c>
      <c r="AA14" s="2">
        <v>36.260462526481625</v>
      </c>
    </row>
    <row r="15" spans="3:27" x14ac:dyDescent="0.25">
      <c r="C15" s="1" t="s">
        <v>45</v>
      </c>
      <c r="D15" s="2">
        <v>752.37926232352527</v>
      </c>
      <c r="E15" s="2">
        <v>727.96554107894372</v>
      </c>
      <c r="F15" s="2">
        <v>775.70571776734675</v>
      </c>
      <c r="G15" s="2">
        <v>709.64871690053587</v>
      </c>
      <c r="H15" s="2">
        <v>664.6866378522335</v>
      </c>
      <c r="I15" s="2">
        <v>697.89474775757049</v>
      </c>
      <c r="J15" s="2">
        <v>677.93857101166714</v>
      </c>
      <c r="K15" s="2">
        <v>660.10166606774919</v>
      </c>
      <c r="L15" s="2">
        <v>691.35177749004481</v>
      </c>
      <c r="M15" s="2">
        <v>699.69377242640257</v>
      </c>
      <c r="N15" s="2">
        <v>692.88388801357189</v>
      </c>
      <c r="O15" s="2">
        <v>636.73859278212069</v>
      </c>
      <c r="P15" s="2">
        <v>633.14618693477314</v>
      </c>
      <c r="Q15" s="2">
        <v>614.70314118064448</v>
      </c>
      <c r="R15" s="2">
        <v>493.24917093783404</v>
      </c>
      <c r="S15" s="2">
        <v>541.29826584555371</v>
      </c>
      <c r="T15" s="2">
        <v>612.5713821876335</v>
      </c>
      <c r="U15" s="2">
        <v>617.11736286897815</v>
      </c>
      <c r="V15" s="2">
        <v>629.91566871688724</v>
      </c>
      <c r="W15" s="2">
        <v>587.81589364140098</v>
      </c>
      <c r="X15" s="2">
        <v>604.98772292464821</v>
      </c>
      <c r="Y15" s="2">
        <v>589.06229429993766</v>
      </c>
      <c r="Z15" s="2">
        <v>609.90184311964606</v>
      </c>
      <c r="AA15" s="2">
        <v>626.81227933919035</v>
      </c>
    </row>
    <row r="16" spans="3:27" x14ac:dyDescent="0.25">
      <c r="C16" s="1" t="s">
        <v>46</v>
      </c>
      <c r="D16" s="2">
        <v>1098.8601348205145</v>
      </c>
      <c r="E16" s="2">
        <v>1125.6059152641819</v>
      </c>
      <c r="F16" s="2">
        <v>1163.5476444447247</v>
      </c>
      <c r="G16" s="2">
        <v>1129.7659437127861</v>
      </c>
      <c r="H16" s="2">
        <v>1000.4554094188712</v>
      </c>
      <c r="I16" s="2">
        <v>930.58882374349366</v>
      </c>
      <c r="J16" s="2">
        <v>1028.3428813820956</v>
      </c>
      <c r="K16" s="2">
        <v>972.8829614047678</v>
      </c>
      <c r="L16" s="2">
        <v>977.14816817690564</v>
      </c>
      <c r="M16" s="2">
        <v>975.19468924748344</v>
      </c>
      <c r="N16" s="2">
        <v>964.95339776817059</v>
      </c>
      <c r="O16" s="2">
        <v>948.25736026597463</v>
      </c>
      <c r="P16" s="2">
        <v>960.88889438814726</v>
      </c>
      <c r="Q16" s="2">
        <v>963.33198752045655</v>
      </c>
      <c r="R16" s="2">
        <v>1137.1645399539154</v>
      </c>
      <c r="S16" s="2">
        <v>1103.6404081669543</v>
      </c>
      <c r="T16" s="2">
        <v>963.95628649479647</v>
      </c>
      <c r="U16" s="2">
        <v>980.04626851476223</v>
      </c>
      <c r="V16" s="2">
        <v>968.8035191077638</v>
      </c>
      <c r="W16" s="2">
        <v>962.04671403337727</v>
      </c>
      <c r="X16" s="2">
        <v>960.67345472399757</v>
      </c>
      <c r="Y16" s="2">
        <v>955.68691847895911</v>
      </c>
      <c r="Z16" s="2">
        <v>977.21964680254268</v>
      </c>
      <c r="AA16" s="2">
        <v>1052.6725696662854</v>
      </c>
    </row>
    <row r="17" spans="3:34" x14ac:dyDescent="0.25">
      <c r="C17" s="1" t="s">
        <v>47</v>
      </c>
      <c r="D17" s="2">
        <v>624.88443256507003</v>
      </c>
      <c r="E17" s="2">
        <v>633.15190691953546</v>
      </c>
      <c r="F17" s="2">
        <v>682.6764323275861</v>
      </c>
      <c r="G17" s="2">
        <v>692.17530003717457</v>
      </c>
      <c r="H17" s="2">
        <v>697.11817614019833</v>
      </c>
      <c r="I17" s="2">
        <v>684.43873271098141</v>
      </c>
      <c r="J17" s="2">
        <v>639.80524480120641</v>
      </c>
      <c r="K17" s="2">
        <v>763.75066028597541</v>
      </c>
      <c r="L17" s="2">
        <v>829.4018969489681</v>
      </c>
      <c r="M17" s="2">
        <v>859.60060426138841</v>
      </c>
      <c r="N17" s="2">
        <v>831.79636062258578</v>
      </c>
      <c r="O17" s="2">
        <v>845.60332545142694</v>
      </c>
      <c r="P17" s="2">
        <v>801.19039243754901</v>
      </c>
      <c r="Q17" s="2">
        <v>764.01601875400195</v>
      </c>
      <c r="R17" s="2">
        <v>904.98961567214042</v>
      </c>
      <c r="S17" s="2">
        <v>880.20783457855566</v>
      </c>
      <c r="T17" s="2">
        <v>808.07507201325109</v>
      </c>
      <c r="U17" s="2">
        <v>800.45290660362582</v>
      </c>
      <c r="V17" s="2">
        <v>761.58733327943742</v>
      </c>
      <c r="W17" s="2">
        <v>752.87541093980985</v>
      </c>
      <c r="X17" s="2">
        <v>735.1155132023033</v>
      </c>
      <c r="Y17" s="2">
        <v>747.94272985211387</v>
      </c>
      <c r="Z17" s="2">
        <v>733.4470240897125</v>
      </c>
      <c r="AA17" s="2">
        <v>738.95301527583911</v>
      </c>
    </row>
    <row r="18" spans="3:34" x14ac:dyDescent="0.25">
      <c r="C18" s="1" t="s">
        <v>48</v>
      </c>
      <c r="D18" s="2">
        <v>0.78224730533292897</v>
      </c>
      <c r="E18" s="2">
        <v>0.80596878488544743</v>
      </c>
      <c r="F18" s="2">
        <v>0.82969026443796579</v>
      </c>
      <c r="G18" s="2">
        <v>0.85341174399048425</v>
      </c>
      <c r="H18" s="2">
        <v>0.87713322354300249</v>
      </c>
      <c r="I18" s="2">
        <v>0.893895899785629</v>
      </c>
      <c r="J18" s="2">
        <v>0.88204391865037413</v>
      </c>
      <c r="K18" s="2">
        <v>0.8670975749537142</v>
      </c>
      <c r="L18" s="2">
        <v>0.85215123125705405</v>
      </c>
      <c r="M18" s="2">
        <v>0.83720488756039413</v>
      </c>
      <c r="N18" s="2">
        <v>0.82225854386373398</v>
      </c>
      <c r="O18" s="2">
        <v>0.80731220016707395</v>
      </c>
      <c r="P18" s="2">
        <v>0.79236585647041391</v>
      </c>
      <c r="Q18" s="2">
        <v>0.77621308471622974</v>
      </c>
      <c r="R18" s="2">
        <v>0.75621352789089569</v>
      </c>
      <c r="S18" s="2">
        <v>0.73592703888861921</v>
      </c>
      <c r="T18" s="2">
        <v>0.71564054988634274</v>
      </c>
      <c r="U18" s="2">
        <v>0.69535406088406615</v>
      </c>
      <c r="V18" s="2">
        <v>0.67506757188178956</v>
      </c>
      <c r="W18" s="2">
        <v>0.65478108287951309</v>
      </c>
      <c r="X18" s="2">
        <v>0.63449459387723661</v>
      </c>
      <c r="Y18" s="2">
        <v>0.62130454044874295</v>
      </c>
      <c r="Z18" s="2">
        <v>0.62657731088804569</v>
      </c>
      <c r="AA18" s="2">
        <v>0.63280480946278517</v>
      </c>
    </row>
    <row r="19" spans="3:34" x14ac:dyDescent="0.25">
      <c r="C19" s="1" t="s">
        <v>49</v>
      </c>
      <c r="D19" s="2">
        <v>14.794779024374566</v>
      </c>
      <c r="E19" s="2">
        <v>14.815319792213934</v>
      </c>
      <c r="F19" s="2">
        <v>14.822356091329461</v>
      </c>
      <c r="G19" s="2">
        <v>14.903094957782068</v>
      </c>
      <c r="H19" s="2">
        <v>14.943295999547837</v>
      </c>
      <c r="I19" s="2">
        <v>15.04898337862404</v>
      </c>
      <c r="J19" s="2">
        <v>14.748331490735294</v>
      </c>
      <c r="K19" s="2">
        <v>14.762155308863489</v>
      </c>
      <c r="L19" s="2">
        <v>14.809903174982212</v>
      </c>
      <c r="M19" s="2">
        <v>14.682973214108801</v>
      </c>
      <c r="N19" s="2">
        <v>14.524201075303335</v>
      </c>
      <c r="O19" s="2">
        <v>14.492663725280792</v>
      </c>
      <c r="P19" s="2">
        <v>14.576503354529073</v>
      </c>
      <c r="Q19" s="2">
        <v>14.597231176956779</v>
      </c>
      <c r="R19" s="2">
        <v>15.49897458315481</v>
      </c>
      <c r="S19" s="2">
        <v>15.427592532783395</v>
      </c>
      <c r="T19" s="2">
        <v>14.853547416440053</v>
      </c>
      <c r="U19" s="2">
        <v>14.596188991578273</v>
      </c>
      <c r="V19" s="2">
        <v>14.244484271375264</v>
      </c>
      <c r="W19" s="2">
        <v>14.173075151962118</v>
      </c>
      <c r="X19" s="2">
        <v>14.080424210382393</v>
      </c>
      <c r="Y19" s="2">
        <v>14.482895204646097</v>
      </c>
      <c r="Z19" s="2">
        <v>14.399419221992266</v>
      </c>
      <c r="AA19" s="2">
        <v>14.36171995003739</v>
      </c>
    </row>
    <row r="20" spans="3:34" x14ac:dyDescent="0.25">
      <c r="C20" s="1" t="s">
        <v>50</v>
      </c>
      <c r="D20" s="3" t="s">
        <v>36</v>
      </c>
      <c r="E20" s="3" t="s">
        <v>36</v>
      </c>
      <c r="F20" s="3" t="s">
        <v>36</v>
      </c>
      <c r="G20" s="3" t="s">
        <v>36</v>
      </c>
      <c r="H20" s="3" t="s">
        <v>36</v>
      </c>
      <c r="I20" s="3" t="s">
        <v>36</v>
      </c>
      <c r="J20" s="3" t="s">
        <v>36</v>
      </c>
      <c r="K20" s="3" t="s">
        <v>36</v>
      </c>
      <c r="L20" s="3" t="s">
        <v>36</v>
      </c>
      <c r="M20" s="3" t="s">
        <v>36</v>
      </c>
      <c r="N20" s="3" t="s">
        <v>36</v>
      </c>
      <c r="O20" s="3" t="s">
        <v>36</v>
      </c>
      <c r="P20" s="3" t="s">
        <v>36</v>
      </c>
      <c r="Q20" s="3" t="s">
        <v>36</v>
      </c>
      <c r="R20" s="3" t="s">
        <v>36</v>
      </c>
      <c r="S20" s="3" t="s">
        <v>36</v>
      </c>
      <c r="T20" s="3" t="s">
        <v>36</v>
      </c>
      <c r="U20" s="3" t="s">
        <v>36</v>
      </c>
      <c r="V20" s="3" t="s">
        <v>36</v>
      </c>
      <c r="W20" s="3" t="s">
        <v>36</v>
      </c>
      <c r="X20" s="3" t="s">
        <v>36</v>
      </c>
      <c r="Y20" s="3" t="s">
        <v>36</v>
      </c>
      <c r="Z20" s="3" t="s">
        <v>36</v>
      </c>
      <c r="AA20" s="3" t="s">
        <v>36</v>
      </c>
    </row>
    <row r="21" spans="3:34" x14ac:dyDescent="0.25">
      <c r="C21" s="1" t="s">
        <v>51</v>
      </c>
      <c r="D21" s="3" t="s">
        <v>36</v>
      </c>
      <c r="E21" s="3" t="s">
        <v>36</v>
      </c>
      <c r="F21" s="3" t="s">
        <v>36</v>
      </c>
      <c r="G21" s="3" t="s">
        <v>36</v>
      </c>
      <c r="H21" s="3" t="s">
        <v>36</v>
      </c>
      <c r="I21" s="3" t="s">
        <v>36</v>
      </c>
      <c r="J21" s="3" t="s">
        <v>36</v>
      </c>
      <c r="K21" s="3" t="s">
        <v>36</v>
      </c>
      <c r="L21" s="3" t="s">
        <v>36</v>
      </c>
      <c r="M21" s="3" t="s">
        <v>36</v>
      </c>
      <c r="N21" s="3" t="s">
        <v>36</v>
      </c>
      <c r="O21" s="3" t="s">
        <v>36</v>
      </c>
      <c r="P21" s="2">
        <v>9.7680099308490753E-2</v>
      </c>
      <c r="Q21" s="2">
        <v>9.7680099308490753E-2</v>
      </c>
      <c r="R21" s="2">
        <v>9.7680099308490753E-2</v>
      </c>
      <c r="S21" s="2">
        <v>9.7680099308490753E-2</v>
      </c>
      <c r="T21" s="2">
        <v>9.7680099308490753E-2</v>
      </c>
      <c r="U21" s="2">
        <v>1.1940361007233797</v>
      </c>
      <c r="V21" s="2">
        <v>1.6605616807937622</v>
      </c>
      <c r="W21" s="2">
        <v>1.6605616807937622</v>
      </c>
      <c r="X21" s="2">
        <v>1.6605616807937622</v>
      </c>
      <c r="Y21" s="2">
        <v>1.6605616807937622</v>
      </c>
      <c r="Z21" s="2">
        <v>1.6605616807937622</v>
      </c>
      <c r="AA21" s="2">
        <v>1.6605616807937622</v>
      </c>
    </row>
    <row r="23" spans="3:34" x14ac:dyDescent="0.25">
      <c r="C23" s="1" t="s">
        <v>32</v>
      </c>
      <c r="D23" s="9">
        <f>VLOOKUP('Dashboard Emissões'!$B$3,$C$8:$AA$21,D6,0)</f>
        <v>0.78224730533292897</v>
      </c>
      <c r="E23" s="9">
        <f>VLOOKUP('Dashboard Emissões'!$B$3,$C$8:$AA$21,E6,0)</f>
        <v>0.80596878488544743</v>
      </c>
      <c r="F23" s="9">
        <f>VLOOKUP('Dashboard Emissões'!$B$3,$C$8:$AA$21,F6,0)</f>
        <v>0.82969026443796579</v>
      </c>
      <c r="G23" s="9">
        <f>VLOOKUP('Dashboard Emissões'!$B$3,$C$8:$AA$21,G6,0)</f>
        <v>0.85341174399048425</v>
      </c>
      <c r="H23" s="9">
        <f>VLOOKUP('Dashboard Emissões'!$B$3,$C$8:$AA$21,H6,0)</f>
        <v>0.87713322354300249</v>
      </c>
      <c r="I23" s="9">
        <f>VLOOKUP('Dashboard Emissões'!$B$3,$C$8:$AA$21,I6,0)</f>
        <v>0.893895899785629</v>
      </c>
      <c r="J23" s="9">
        <f>VLOOKUP('Dashboard Emissões'!$B$3,$C$8:$AA$21,J6,0)</f>
        <v>0.88204391865037413</v>
      </c>
      <c r="K23" s="9">
        <f>VLOOKUP('Dashboard Emissões'!$B$3,$C$8:$AA$21,K6,0)</f>
        <v>0.8670975749537142</v>
      </c>
      <c r="L23" s="9">
        <f>VLOOKUP('Dashboard Emissões'!$B$3,$C$8:$AA$21,L6,0)</f>
        <v>0.85215123125705405</v>
      </c>
      <c r="M23" s="9">
        <f>VLOOKUP('Dashboard Emissões'!$B$3,$C$8:$AA$21,M6,0)</f>
        <v>0.83720488756039413</v>
      </c>
      <c r="N23" s="9">
        <f>VLOOKUP('Dashboard Emissões'!$B$3,$C$8:$AA$21,N6,0)</f>
        <v>0.82225854386373398</v>
      </c>
      <c r="O23" s="9">
        <f>VLOOKUP('Dashboard Emissões'!$B$3,$C$8:$AA$21,O6,0)</f>
        <v>0.80731220016707395</v>
      </c>
      <c r="P23" s="9">
        <f>VLOOKUP('Dashboard Emissões'!$B$3,$C$8:$AA$21,P6,0)</f>
        <v>0.79236585647041391</v>
      </c>
      <c r="Q23" s="9">
        <f>VLOOKUP('Dashboard Emissões'!$B$3,$C$8:$AA$21,Q6,0)</f>
        <v>0.77621308471622974</v>
      </c>
      <c r="R23" s="9">
        <f>VLOOKUP('Dashboard Emissões'!$B$3,$C$8:$AA$21,R6,0)</f>
        <v>0.75621352789089569</v>
      </c>
      <c r="S23" s="9">
        <f>VLOOKUP('Dashboard Emissões'!$B$3,$C$8:$AA$21,S6,0)</f>
        <v>0.73592703888861921</v>
      </c>
      <c r="T23" s="9">
        <f>VLOOKUP('Dashboard Emissões'!$B$3,$C$8:$AA$21,T6,0)</f>
        <v>0.71564054988634274</v>
      </c>
      <c r="U23" s="9">
        <f>VLOOKUP('Dashboard Emissões'!$B$3,$C$8:$AA$21,U6,0)</f>
        <v>0.69535406088406615</v>
      </c>
      <c r="V23" s="9">
        <f>VLOOKUP('Dashboard Emissões'!$B$3,$C$8:$AA$21,V6,0)</f>
        <v>0.67506757188178956</v>
      </c>
      <c r="W23" s="9">
        <f>VLOOKUP('Dashboard Emissões'!$B$3,$C$8:$AA$21,W6,0)</f>
        <v>0.65478108287951309</v>
      </c>
      <c r="X23" s="9">
        <f>VLOOKUP('Dashboard Emissões'!$B$3,$C$8:$AA$21,X6,0)</f>
        <v>0.63449459387723661</v>
      </c>
      <c r="Y23" s="9">
        <f>VLOOKUP('Dashboard Emissões'!$B$3,$C$8:$AA$21,Y6,0)</f>
        <v>0.62130454044874295</v>
      </c>
      <c r="Z23" s="9">
        <f>VLOOKUP('Dashboard Emissões'!$B$3,$C$8:$AA$21,Z6,0)</f>
        <v>0.62657731088804569</v>
      </c>
      <c r="AA23" s="9">
        <f>VLOOKUP('Dashboard Emissões'!$B$3,$C$8:$AA$21,AA6,0)</f>
        <v>0.63280480946278517</v>
      </c>
    </row>
    <row r="25" spans="3:34" x14ac:dyDescent="0.25"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</row>
    <row r="26" spans="3:34" ht="18.75" x14ac:dyDescent="0.25">
      <c r="E26" s="58" t="s">
        <v>27</v>
      </c>
      <c r="F26" s="59"/>
      <c r="G26" s="59"/>
      <c r="H26" s="59"/>
      <c r="I26" s="59"/>
      <c r="J26" s="59"/>
    </row>
    <row r="28" spans="3:34" x14ac:dyDescent="0.25">
      <c r="C28">
        <v>1</v>
      </c>
      <c r="D28">
        <f t="shared" ref="D28:AH28" si="1">C28+1</f>
        <v>2</v>
      </c>
      <c r="E28">
        <f t="shared" si="1"/>
        <v>3</v>
      </c>
      <c r="F28">
        <f t="shared" si="1"/>
        <v>4</v>
      </c>
      <c r="G28">
        <f t="shared" si="1"/>
        <v>5</v>
      </c>
      <c r="H28">
        <f t="shared" si="1"/>
        <v>6</v>
      </c>
      <c r="I28">
        <f t="shared" si="1"/>
        <v>7</v>
      </c>
      <c r="J28">
        <f t="shared" si="1"/>
        <v>8</v>
      </c>
      <c r="K28">
        <f t="shared" si="1"/>
        <v>9</v>
      </c>
      <c r="L28">
        <f t="shared" si="1"/>
        <v>10</v>
      </c>
      <c r="M28">
        <f t="shared" si="1"/>
        <v>11</v>
      </c>
      <c r="N28">
        <f t="shared" si="1"/>
        <v>12</v>
      </c>
      <c r="O28">
        <f t="shared" si="1"/>
        <v>13</v>
      </c>
      <c r="P28">
        <f t="shared" si="1"/>
        <v>14</v>
      </c>
      <c r="Q28">
        <f t="shared" si="1"/>
        <v>15</v>
      </c>
      <c r="R28">
        <f t="shared" si="1"/>
        <v>16</v>
      </c>
      <c r="S28">
        <f t="shared" si="1"/>
        <v>17</v>
      </c>
      <c r="T28">
        <f t="shared" si="1"/>
        <v>18</v>
      </c>
      <c r="U28">
        <f t="shared" si="1"/>
        <v>19</v>
      </c>
      <c r="V28">
        <f t="shared" si="1"/>
        <v>20</v>
      </c>
      <c r="W28">
        <f t="shared" si="1"/>
        <v>21</v>
      </c>
      <c r="X28">
        <f t="shared" si="1"/>
        <v>22</v>
      </c>
      <c r="Y28">
        <f t="shared" si="1"/>
        <v>23</v>
      </c>
      <c r="Z28">
        <f t="shared" si="1"/>
        <v>24</v>
      </c>
      <c r="AA28">
        <f t="shared" si="1"/>
        <v>25</v>
      </c>
      <c r="AB28">
        <f t="shared" si="1"/>
        <v>26</v>
      </c>
      <c r="AC28">
        <f t="shared" si="1"/>
        <v>27</v>
      </c>
      <c r="AD28">
        <f t="shared" si="1"/>
        <v>28</v>
      </c>
      <c r="AE28">
        <f t="shared" si="1"/>
        <v>29</v>
      </c>
      <c r="AF28">
        <f t="shared" si="1"/>
        <v>30</v>
      </c>
      <c r="AG28">
        <f t="shared" si="1"/>
        <v>31</v>
      </c>
      <c r="AH28">
        <f t="shared" si="1"/>
        <v>32</v>
      </c>
    </row>
    <row r="29" spans="3:34" x14ac:dyDescent="0.25">
      <c r="D29" s="56">
        <v>44348</v>
      </c>
      <c r="E29" s="56">
        <v>44349</v>
      </c>
      <c r="F29" s="56">
        <v>44350</v>
      </c>
      <c r="G29" s="56">
        <v>44351</v>
      </c>
      <c r="H29" s="56">
        <v>44352</v>
      </c>
      <c r="I29" s="56">
        <v>44353</v>
      </c>
      <c r="J29" s="56">
        <v>44354</v>
      </c>
      <c r="K29" s="56">
        <v>44355</v>
      </c>
      <c r="L29" s="56">
        <v>44356</v>
      </c>
      <c r="M29" s="56">
        <v>44357</v>
      </c>
      <c r="N29" s="56">
        <v>44358</v>
      </c>
      <c r="O29" s="56">
        <v>44359</v>
      </c>
      <c r="P29" s="56">
        <v>44360</v>
      </c>
      <c r="Q29" s="56">
        <v>44361</v>
      </c>
      <c r="R29" s="56">
        <v>44362</v>
      </c>
      <c r="S29" s="56">
        <v>44363</v>
      </c>
      <c r="T29" s="56">
        <v>44364</v>
      </c>
      <c r="U29" s="56">
        <v>44365</v>
      </c>
      <c r="V29" s="56">
        <v>44366</v>
      </c>
      <c r="W29" s="56">
        <v>44367</v>
      </c>
      <c r="X29" s="56">
        <v>44368</v>
      </c>
      <c r="Y29" s="56">
        <v>44369</v>
      </c>
      <c r="Z29" s="56">
        <v>44370</v>
      </c>
      <c r="AA29" s="56">
        <v>44371</v>
      </c>
      <c r="AB29" s="56">
        <v>44372</v>
      </c>
      <c r="AC29" s="56">
        <v>44373</v>
      </c>
      <c r="AD29" s="56">
        <v>44374</v>
      </c>
      <c r="AE29" s="56">
        <v>44375</v>
      </c>
      <c r="AF29" s="56">
        <v>44376</v>
      </c>
      <c r="AG29" s="56">
        <v>44377</v>
      </c>
      <c r="AH29" s="55">
        <v>44347</v>
      </c>
    </row>
    <row r="30" spans="3:34" x14ac:dyDescent="0.25">
      <c r="C30" s="1" t="s">
        <v>38</v>
      </c>
      <c r="D30" s="3" t="s">
        <v>36</v>
      </c>
      <c r="E30" s="3" t="s">
        <v>36</v>
      </c>
      <c r="F30" s="3" t="s">
        <v>36</v>
      </c>
      <c r="G30" s="3" t="s">
        <v>36</v>
      </c>
      <c r="H30" s="3" t="s">
        <v>36</v>
      </c>
      <c r="I30" s="3" t="s">
        <v>36</v>
      </c>
      <c r="J30" s="3" t="s">
        <v>36</v>
      </c>
      <c r="K30" s="3" t="s">
        <v>36</v>
      </c>
      <c r="L30" s="3" t="s">
        <v>36</v>
      </c>
      <c r="M30" s="3" t="s">
        <v>36</v>
      </c>
      <c r="N30" s="3" t="s">
        <v>36</v>
      </c>
      <c r="O30" s="3" t="s">
        <v>36</v>
      </c>
      <c r="P30" s="3" t="s">
        <v>36</v>
      </c>
      <c r="Q30" s="3" t="s">
        <v>36</v>
      </c>
      <c r="R30" s="3" t="s">
        <v>36</v>
      </c>
      <c r="S30" s="3" t="s">
        <v>36</v>
      </c>
      <c r="T30" s="3" t="s">
        <v>36</v>
      </c>
      <c r="U30" s="3" t="s">
        <v>36</v>
      </c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 t="s">
        <v>36</v>
      </c>
    </row>
    <row r="31" spans="3:34" x14ac:dyDescent="0.25">
      <c r="C31" s="1" t="s">
        <v>39</v>
      </c>
      <c r="D31" s="3" t="s">
        <v>36</v>
      </c>
      <c r="E31" s="3" t="s">
        <v>36</v>
      </c>
      <c r="F31" s="3" t="s">
        <v>36</v>
      </c>
      <c r="G31" s="3" t="s">
        <v>36</v>
      </c>
      <c r="H31" s="3" t="s">
        <v>36</v>
      </c>
      <c r="I31" s="3" t="s">
        <v>36</v>
      </c>
      <c r="J31" s="3" t="s">
        <v>36</v>
      </c>
      <c r="K31" s="3" t="s">
        <v>36</v>
      </c>
      <c r="L31" s="3" t="s">
        <v>36</v>
      </c>
      <c r="M31" s="3" t="s">
        <v>36</v>
      </c>
      <c r="N31" s="3" t="s">
        <v>36</v>
      </c>
      <c r="O31" s="3" t="s">
        <v>36</v>
      </c>
      <c r="P31" s="3" t="s">
        <v>36</v>
      </c>
      <c r="Q31" s="3" t="s">
        <v>36</v>
      </c>
      <c r="R31" s="3" t="s">
        <v>36</v>
      </c>
      <c r="S31" s="3" t="s">
        <v>36</v>
      </c>
      <c r="T31" s="3" t="s">
        <v>36</v>
      </c>
      <c r="U31" s="3" t="s">
        <v>36</v>
      </c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 t="s">
        <v>36</v>
      </c>
    </row>
    <row r="32" spans="3:34" x14ac:dyDescent="0.25">
      <c r="C32" s="1" t="s">
        <v>40</v>
      </c>
      <c r="D32" s="3" t="s">
        <v>36</v>
      </c>
      <c r="E32" s="3" t="s">
        <v>36</v>
      </c>
      <c r="F32" s="3" t="s">
        <v>36</v>
      </c>
      <c r="G32" s="3" t="s">
        <v>36</v>
      </c>
      <c r="H32" s="3" t="s">
        <v>36</v>
      </c>
      <c r="I32" s="3" t="s">
        <v>36</v>
      </c>
      <c r="J32" s="3" t="s">
        <v>36</v>
      </c>
      <c r="K32" s="3" t="s">
        <v>36</v>
      </c>
      <c r="L32" s="3" t="s">
        <v>36</v>
      </c>
      <c r="M32" s="3" t="s">
        <v>36</v>
      </c>
      <c r="N32" s="3" t="s">
        <v>36</v>
      </c>
      <c r="O32" s="3" t="s">
        <v>36</v>
      </c>
      <c r="P32" s="3" t="s">
        <v>36</v>
      </c>
      <c r="Q32" s="3" t="s">
        <v>36</v>
      </c>
      <c r="R32" s="3" t="s">
        <v>36</v>
      </c>
      <c r="S32" s="3" t="s">
        <v>36</v>
      </c>
      <c r="T32" s="3" t="s">
        <v>36</v>
      </c>
      <c r="U32" s="3" t="s">
        <v>36</v>
      </c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 t="s">
        <v>36</v>
      </c>
    </row>
    <row r="33" spans="3:34" x14ac:dyDescent="0.25">
      <c r="C33" s="1" t="s">
        <v>41</v>
      </c>
      <c r="D33" s="3" t="s">
        <v>36</v>
      </c>
      <c r="E33" s="3" t="s">
        <v>36</v>
      </c>
      <c r="F33" s="3" t="s">
        <v>36</v>
      </c>
      <c r="G33" s="3" t="s">
        <v>36</v>
      </c>
      <c r="H33" s="3" t="s">
        <v>36</v>
      </c>
      <c r="I33" s="3" t="s">
        <v>36</v>
      </c>
      <c r="J33" s="3" t="s">
        <v>36</v>
      </c>
      <c r="K33" s="3" t="s">
        <v>36</v>
      </c>
      <c r="L33" s="3" t="s">
        <v>36</v>
      </c>
      <c r="M33" s="3" t="s">
        <v>36</v>
      </c>
      <c r="N33" s="3" t="s">
        <v>36</v>
      </c>
      <c r="O33" s="3" t="s">
        <v>36</v>
      </c>
      <c r="P33" s="3" t="s">
        <v>36</v>
      </c>
      <c r="Q33" s="3" t="s">
        <v>36</v>
      </c>
      <c r="R33" s="3" t="s">
        <v>36</v>
      </c>
      <c r="S33" s="3" t="s">
        <v>36</v>
      </c>
      <c r="T33" s="3" t="s">
        <v>36</v>
      </c>
      <c r="U33" s="3" t="s">
        <v>36</v>
      </c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 t="s">
        <v>36</v>
      </c>
    </row>
    <row r="34" spans="3:34" x14ac:dyDescent="0.25">
      <c r="C34" s="1" t="s">
        <v>42</v>
      </c>
      <c r="D34" s="3" t="s">
        <v>36</v>
      </c>
      <c r="E34" s="3" t="s">
        <v>36</v>
      </c>
      <c r="F34" s="3" t="s">
        <v>36</v>
      </c>
      <c r="G34" s="3" t="s">
        <v>36</v>
      </c>
      <c r="H34" s="3" t="s">
        <v>36</v>
      </c>
      <c r="I34" s="3" t="s">
        <v>36</v>
      </c>
      <c r="J34" s="3" t="s">
        <v>36</v>
      </c>
      <c r="K34" s="3" t="s">
        <v>36</v>
      </c>
      <c r="L34" s="3" t="s">
        <v>36</v>
      </c>
      <c r="M34" s="3" t="s">
        <v>36</v>
      </c>
      <c r="N34" s="3" t="s">
        <v>36</v>
      </c>
      <c r="O34" s="3" t="s">
        <v>36</v>
      </c>
      <c r="P34" s="3" t="s">
        <v>36</v>
      </c>
      <c r="Q34" s="3" t="s">
        <v>36</v>
      </c>
      <c r="R34" s="3" t="s">
        <v>36</v>
      </c>
      <c r="S34" s="3" t="s">
        <v>36</v>
      </c>
      <c r="T34" s="3" t="s">
        <v>36</v>
      </c>
      <c r="U34" s="3" t="s">
        <v>36</v>
      </c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 t="s">
        <v>36</v>
      </c>
    </row>
    <row r="35" spans="3:34" x14ac:dyDescent="0.25">
      <c r="C35" s="1" t="s">
        <v>43</v>
      </c>
      <c r="D35" s="3" t="s">
        <v>36</v>
      </c>
      <c r="E35" s="3" t="s">
        <v>36</v>
      </c>
      <c r="F35" s="3" t="s">
        <v>36</v>
      </c>
      <c r="G35" s="3" t="s">
        <v>36</v>
      </c>
      <c r="H35" s="3" t="s">
        <v>36</v>
      </c>
      <c r="I35" s="3" t="s">
        <v>36</v>
      </c>
      <c r="J35" s="3" t="s">
        <v>36</v>
      </c>
      <c r="K35" s="3" t="s">
        <v>36</v>
      </c>
      <c r="L35" s="3" t="s">
        <v>36</v>
      </c>
      <c r="M35" s="3" t="s">
        <v>36</v>
      </c>
      <c r="N35" s="3" t="s">
        <v>36</v>
      </c>
      <c r="O35" s="3" t="s">
        <v>36</v>
      </c>
      <c r="P35" s="3" t="s">
        <v>36</v>
      </c>
      <c r="Q35" s="3" t="s">
        <v>36</v>
      </c>
      <c r="R35" s="3" t="s">
        <v>36</v>
      </c>
      <c r="S35" s="3" t="s">
        <v>36</v>
      </c>
      <c r="T35" s="3" t="s">
        <v>36</v>
      </c>
      <c r="U35" s="3" t="s">
        <v>36</v>
      </c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 t="s">
        <v>36</v>
      </c>
    </row>
    <row r="36" spans="3:34" x14ac:dyDescent="0.25">
      <c r="C36" s="1" t="s">
        <v>44</v>
      </c>
      <c r="D36" s="2">
        <v>21.12</v>
      </c>
      <c r="E36" s="2">
        <v>26.3</v>
      </c>
      <c r="F36" s="2">
        <v>13.62</v>
      </c>
      <c r="G36" s="2">
        <v>19.600000000000001</v>
      </c>
      <c r="H36" s="2">
        <v>22.2</v>
      </c>
      <c r="I36" s="2">
        <v>23.3</v>
      </c>
      <c r="J36" s="2">
        <v>22.43</v>
      </c>
      <c r="K36" s="2">
        <v>28.08</v>
      </c>
      <c r="L36" s="2">
        <v>26.84</v>
      </c>
      <c r="M36" s="2">
        <v>22.27</v>
      </c>
      <c r="N36" s="2">
        <v>25.44</v>
      </c>
      <c r="O36" s="2">
        <v>18.29</v>
      </c>
      <c r="P36" s="2">
        <v>13.31</v>
      </c>
      <c r="Q36" s="2">
        <v>17.260000000000002</v>
      </c>
      <c r="R36" s="2">
        <v>18.27</v>
      </c>
      <c r="S36" s="2">
        <v>19.8</v>
      </c>
      <c r="T36" s="2">
        <v>31.07</v>
      </c>
      <c r="U36" s="2">
        <v>28.05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2">
        <v>23.23</v>
      </c>
    </row>
    <row r="37" spans="3:34" x14ac:dyDescent="0.25">
      <c r="C37" s="1" t="s">
        <v>45</v>
      </c>
      <c r="D37" s="2">
        <v>633.27</v>
      </c>
      <c r="E37" s="2">
        <v>586.47</v>
      </c>
      <c r="F37" s="2">
        <v>528.21</v>
      </c>
      <c r="G37" s="2">
        <v>600.36</v>
      </c>
      <c r="H37" s="2">
        <v>607.36</v>
      </c>
      <c r="I37" s="2">
        <v>613.34</v>
      </c>
      <c r="J37" s="2">
        <v>525.46</v>
      </c>
      <c r="K37" s="2">
        <v>640.77</v>
      </c>
      <c r="L37" s="2">
        <v>656.37</v>
      </c>
      <c r="M37" s="2">
        <v>720.25</v>
      </c>
      <c r="N37" s="2">
        <v>675.23</v>
      </c>
      <c r="O37" s="2">
        <v>734.9</v>
      </c>
      <c r="P37" s="2">
        <v>714.49</v>
      </c>
      <c r="Q37" s="2">
        <v>759.32</v>
      </c>
      <c r="R37" s="2">
        <v>735.53</v>
      </c>
      <c r="S37" s="2">
        <v>716.34</v>
      </c>
      <c r="T37" s="2">
        <v>647.82000000000005</v>
      </c>
      <c r="U37" s="2">
        <v>666.78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2">
        <v>691.03</v>
      </c>
    </row>
    <row r="38" spans="3:34" x14ac:dyDescent="0.25">
      <c r="C38" s="1" t="s">
        <v>46</v>
      </c>
      <c r="D38" s="2">
        <v>885.61</v>
      </c>
      <c r="E38" s="2">
        <v>916.83</v>
      </c>
      <c r="F38" s="2">
        <v>683.46</v>
      </c>
      <c r="G38" s="2">
        <v>804.77</v>
      </c>
      <c r="H38" s="2">
        <v>820.99</v>
      </c>
      <c r="I38" s="2">
        <v>761.12</v>
      </c>
      <c r="J38" s="2">
        <v>706.2</v>
      </c>
      <c r="K38" s="2">
        <v>799.54</v>
      </c>
      <c r="L38" s="2">
        <v>773.15</v>
      </c>
      <c r="M38" s="2">
        <v>812.2</v>
      </c>
      <c r="N38" s="2">
        <v>933.88</v>
      </c>
      <c r="O38" s="2">
        <v>909.11</v>
      </c>
      <c r="P38" s="2">
        <v>856.97</v>
      </c>
      <c r="Q38" s="2">
        <v>864.69</v>
      </c>
      <c r="R38" s="2">
        <v>900.56</v>
      </c>
      <c r="S38" s="2">
        <v>936.59</v>
      </c>
      <c r="T38" s="2">
        <v>1012.57</v>
      </c>
      <c r="U38" s="2">
        <v>1058.76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2">
        <v>1067.9100000000001</v>
      </c>
    </row>
    <row r="39" spans="3:34" x14ac:dyDescent="0.25">
      <c r="C39" s="1" t="s">
        <v>47</v>
      </c>
      <c r="D39" s="2">
        <v>797.17</v>
      </c>
      <c r="E39" s="2">
        <v>804.26</v>
      </c>
      <c r="F39" s="2">
        <v>603.79</v>
      </c>
      <c r="G39" s="2">
        <v>656.68</v>
      </c>
      <c r="H39" s="2">
        <v>673.48</v>
      </c>
      <c r="I39" s="2">
        <v>638.66</v>
      </c>
      <c r="J39" s="2">
        <v>656.51</v>
      </c>
      <c r="K39" s="2">
        <v>651.30999999999995</v>
      </c>
      <c r="L39" s="2">
        <v>741.88</v>
      </c>
      <c r="M39" s="2">
        <v>849.71</v>
      </c>
      <c r="N39" s="2">
        <v>934.46</v>
      </c>
      <c r="O39" s="2">
        <v>830.51</v>
      </c>
      <c r="P39" s="2">
        <v>727.88</v>
      </c>
      <c r="Q39" s="2">
        <v>857.2</v>
      </c>
      <c r="R39" s="2">
        <v>808.92</v>
      </c>
      <c r="S39" s="2">
        <v>636.16999999999996</v>
      </c>
      <c r="T39" s="2">
        <v>758.89</v>
      </c>
      <c r="U39" s="2">
        <v>783.11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2">
        <v>784.09</v>
      </c>
    </row>
    <row r="40" spans="3:34" x14ac:dyDescent="0.25">
      <c r="C40" s="1" t="s">
        <v>48</v>
      </c>
      <c r="D40" s="2">
        <v>0.76</v>
      </c>
      <c r="E40" s="2">
        <v>0.7</v>
      </c>
      <c r="F40" s="2">
        <v>0.43</v>
      </c>
      <c r="G40" s="2">
        <v>0.52</v>
      </c>
      <c r="H40" s="2">
        <v>0.63</v>
      </c>
      <c r="I40" s="2">
        <v>0.61</v>
      </c>
      <c r="J40" s="2">
        <v>0.55000000000000004</v>
      </c>
      <c r="K40" s="2">
        <v>0.6</v>
      </c>
      <c r="L40" s="2">
        <v>0.76</v>
      </c>
      <c r="M40" s="2">
        <v>0.78</v>
      </c>
      <c r="N40" s="2">
        <v>0.78</v>
      </c>
      <c r="O40" s="2">
        <v>0.75</v>
      </c>
      <c r="P40" s="2">
        <v>0.74</v>
      </c>
      <c r="Q40" s="2">
        <v>0.83</v>
      </c>
      <c r="R40" s="2">
        <v>0.88</v>
      </c>
      <c r="S40" s="2">
        <v>0.76</v>
      </c>
      <c r="T40" s="2">
        <v>0.77</v>
      </c>
      <c r="U40" s="2">
        <v>0.67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2">
        <v>0.83</v>
      </c>
    </row>
    <row r="41" spans="3:34" x14ac:dyDescent="0.25">
      <c r="C41" s="1" t="s">
        <v>49</v>
      </c>
      <c r="D41" s="2">
        <v>14.51</v>
      </c>
      <c r="E41" s="2">
        <v>14.44</v>
      </c>
      <c r="F41" s="2">
        <v>13.07</v>
      </c>
      <c r="G41" s="2">
        <v>13.4</v>
      </c>
      <c r="H41" s="2">
        <v>13.2</v>
      </c>
      <c r="I41" s="2">
        <v>13.18</v>
      </c>
      <c r="J41" s="2">
        <v>12.96</v>
      </c>
      <c r="K41" s="2">
        <v>12.65</v>
      </c>
      <c r="L41" s="2">
        <v>13.55</v>
      </c>
      <c r="M41" s="2">
        <v>14.54</v>
      </c>
      <c r="N41" s="2">
        <v>14.48</v>
      </c>
      <c r="O41" s="2">
        <v>14.76</v>
      </c>
      <c r="P41" s="2">
        <v>14.88</v>
      </c>
      <c r="Q41" s="2">
        <v>15.78</v>
      </c>
      <c r="R41" s="2">
        <v>15.73</v>
      </c>
      <c r="S41" s="2">
        <v>14.89</v>
      </c>
      <c r="T41" s="2">
        <v>14.69</v>
      </c>
      <c r="U41" s="2">
        <v>14.76</v>
      </c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2">
        <v>14.75</v>
      </c>
    </row>
    <row r="42" spans="3:34" x14ac:dyDescent="0.25">
      <c r="C42" s="1" t="s">
        <v>50</v>
      </c>
      <c r="D42" s="3" t="s">
        <v>36</v>
      </c>
      <c r="E42" s="3" t="s">
        <v>36</v>
      </c>
      <c r="F42" s="3" t="s">
        <v>36</v>
      </c>
      <c r="G42" s="3" t="s">
        <v>36</v>
      </c>
      <c r="H42" s="3" t="s">
        <v>36</v>
      </c>
      <c r="I42" s="3" t="s">
        <v>36</v>
      </c>
      <c r="J42" s="3" t="s">
        <v>36</v>
      </c>
      <c r="K42" s="3" t="s">
        <v>36</v>
      </c>
      <c r="L42" s="3" t="s">
        <v>36</v>
      </c>
      <c r="M42" s="3" t="s">
        <v>36</v>
      </c>
      <c r="N42" s="3" t="s">
        <v>36</v>
      </c>
      <c r="O42" s="3" t="s">
        <v>36</v>
      </c>
      <c r="P42" s="3" t="s">
        <v>36</v>
      </c>
      <c r="Q42" s="3" t="s">
        <v>36</v>
      </c>
      <c r="R42" s="3" t="s">
        <v>36</v>
      </c>
      <c r="S42" s="3" t="s">
        <v>36</v>
      </c>
      <c r="T42" s="3" t="s">
        <v>36</v>
      </c>
      <c r="U42" s="3" t="s">
        <v>36</v>
      </c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 t="s">
        <v>36</v>
      </c>
    </row>
    <row r="43" spans="3:34" x14ac:dyDescent="0.25">
      <c r="C43" s="1" t="s">
        <v>51</v>
      </c>
      <c r="D43" s="2">
        <v>1.4</v>
      </c>
      <c r="E43" s="2">
        <v>1.44</v>
      </c>
      <c r="F43" s="2">
        <v>1.65</v>
      </c>
      <c r="G43" s="2">
        <v>1.64</v>
      </c>
      <c r="H43" s="3" t="s">
        <v>36</v>
      </c>
      <c r="I43" s="2">
        <v>1.32</v>
      </c>
      <c r="J43" s="2">
        <v>1.66</v>
      </c>
      <c r="K43" s="2">
        <v>1.66</v>
      </c>
      <c r="L43" s="2">
        <v>1.66</v>
      </c>
      <c r="M43" s="2">
        <v>1.66</v>
      </c>
      <c r="N43" s="2">
        <v>1.66</v>
      </c>
      <c r="O43" s="2">
        <v>1.48</v>
      </c>
      <c r="P43" s="2">
        <v>1.66</v>
      </c>
      <c r="Q43" s="3" t="s">
        <v>36</v>
      </c>
      <c r="R43" s="2">
        <v>1.3</v>
      </c>
      <c r="S43" s="2">
        <v>1.48</v>
      </c>
      <c r="T43" s="2">
        <v>0.97</v>
      </c>
      <c r="U43" s="2">
        <v>1.66</v>
      </c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2">
        <v>1.65</v>
      </c>
    </row>
    <row r="45" spans="3:34" x14ac:dyDescent="0.25">
      <c r="C45" s="1" t="s">
        <v>32</v>
      </c>
      <c r="D45">
        <f>VLOOKUP('Dashboard Emissões'!$B$3,'Aux Graficos'!$C$30:$AH$43,'Aux Graficos'!D28,0)</f>
        <v>0.76</v>
      </c>
      <c r="E45">
        <f>VLOOKUP('Dashboard Emissões'!$B$3,'Aux Graficos'!$C$30:$AH$43,'Aux Graficos'!E28,0)</f>
        <v>0.7</v>
      </c>
      <c r="F45">
        <f>VLOOKUP('Dashboard Emissões'!$B$3,'Aux Graficos'!$C$30:$AH$43,'Aux Graficos'!F28,0)</f>
        <v>0.43</v>
      </c>
      <c r="G45">
        <f>VLOOKUP('Dashboard Emissões'!$B$3,'Aux Graficos'!$C$30:$AH$43,'Aux Graficos'!G28,0)</f>
        <v>0.52</v>
      </c>
      <c r="H45">
        <f>VLOOKUP('Dashboard Emissões'!$B$3,'Aux Graficos'!$C$30:$AH$43,'Aux Graficos'!H28,0)</f>
        <v>0.63</v>
      </c>
      <c r="I45">
        <f>VLOOKUP('Dashboard Emissões'!$B$3,'Aux Graficos'!$C$30:$AH$43,'Aux Graficos'!I28,0)</f>
        <v>0.61</v>
      </c>
      <c r="J45">
        <f>VLOOKUP('Dashboard Emissões'!$B$3,'Aux Graficos'!$C$30:$AH$43,'Aux Graficos'!J28,0)</f>
        <v>0.55000000000000004</v>
      </c>
      <c r="K45">
        <f>VLOOKUP('Dashboard Emissões'!$B$3,'Aux Graficos'!$C$30:$AH$43,'Aux Graficos'!K28,0)</f>
        <v>0.6</v>
      </c>
      <c r="L45">
        <f>VLOOKUP('Dashboard Emissões'!$B$3,'Aux Graficos'!$C$30:$AH$43,'Aux Graficos'!L28,0)</f>
        <v>0.76</v>
      </c>
      <c r="M45">
        <f>VLOOKUP('Dashboard Emissões'!$B$3,'Aux Graficos'!$C$30:$AH$43,'Aux Graficos'!M28,0)</f>
        <v>0.78</v>
      </c>
      <c r="N45">
        <f>VLOOKUP('Dashboard Emissões'!$B$3,'Aux Graficos'!$C$30:$AH$43,'Aux Graficos'!N28,0)</f>
        <v>0.78</v>
      </c>
      <c r="O45">
        <f>VLOOKUP('Dashboard Emissões'!$B$3,'Aux Graficos'!$C$30:$AH$43,'Aux Graficos'!O28,0)</f>
        <v>0.75</v>
      </c>
      <c r="P45">
        <f>VLOOKUP('Dashboard Emissões'!$B$3,'Aux Graficos'!$C$30:$AH$43,'Aux Graficos'!P28,0)</f>
        <v>0.74</v>
      </c>
      <c r="Q45">
        <f>VLOOKUP('Dashboard Emissões'!$B$3,'Aux Graficos'!$C$30:$AH$43,'Aux Graficos'!Q28,0)</f>
        <v>0.83</v>
      </c>
      <c r="R45">
        <f>VLOOKUP('Dashboard Emissões'!$B$3,'Aux Graficos'!$C$30:$AH$43,'Aux Graficos'!R28,0)</f>
        <v>0.88</v>
      </c>
      <c r="S45">
        <f>VLOOKUP('Dashboard Emissões'!$B$3,'Aux Graficos'!$C$30:$AH$43,'Aux Graficos'!S28,0)</f>
        <v>0.76</v>
      </c>
      <c r="T45">
        <f>VLOOKUP('Dashboard Emissões'!$B$3,'Aux Graficos'!$C$30:$AH$43,'Aux Graficos'!T28,0)</f>
        <v>0.77</v>
      </c>
      <c r="U45">
        <f>VLOOKUP('Dashboard Emissões'!$B$3,'Aux Graficos'!$C$30:$AH$43,'Aux Graficos'!U28,0)</f>
        <v>0.67</v>
      </c>
      <c r="V45">
        <f>VLOOKUP('Dashboard Emissões'!$B$3,'Aux Graficos'!$C$30:$AH$43,'Aux Graficos'!V28,0)</f>
        <v>0</v>
      </c>
      <c r="W45">
        <f>VLOOKUP('Dashboard Emissões'!$B$3,'Aux Graficos'!$C$30:$AH$43,'Aux Graficos'!W28,0)</f>
        <v>0</v>
      </c>
      <c r="X45">
        <f>VLOOKUP('Dashboard Emissões'!$B$3,'Aux Graficos'!$C$30:$AH$43,'Aux Graficos'!X28,0)</f>
        <v>0</v>
      </c>
      <c r="Y45">
        <f>VLOOKUP('Dashboard Emissões'!$B$3,'Aux Graficos'!$C$30:$AH$43,'Aux Graficos'!Y28,0)</f>
        <v>0</v>
      </c>
      <c r="Z45">
        <f>VLOOKUP('Dashboard Emissões'!$B$3,'Aux Graficos'!$C$30:$AH$43,'Aux Graficos'!Z28,0)</f>
        <v>0</v>
      </c>
      <c r="AA45">
        <f>VLOOKUP('Dashboard Emissões'!$B$3,'Aux Graficos'!$C$30:$AH$43,'Aux Graficos'!AA28,0)</f>
        <v>0</v>
      </c>
      <c r="AB45">
        <f>VLOOKUP('Dashboard Emissões'!$B$3,'Aux Graficos'!$C$30:$AH$43,'Aux Graficos'!AB28,0)</f>
        <v>0</v>
      </c>
      <c r="AC45">
        <f>VLOOKUP('Dashboard Emissões'!$B$3,'Aux Graficos'!$C$30:$AH$43,'Aux Graficos'!AC28,0)</f>
        <v>0</v>
      </c>
      <c r="AD45">
        <f>VLOOKUP('Dashboard Emissões'!$B$3,'Aux Graficos'!$C$30:$AH$43,'Aux Graficos'!AD28,0)</f>
        <v>0</v>
      </c>
      <c r="AE45">
        <f>VLOOKUP('Dashboard Emissões'!$B$3,'Aux Graficos'!$C$30:$AH$43,'Aux Graficos'!AE28,0)</f>
        <v>0</v>
      </c>
      <c r="AF45">
        <f>VLOOKUP('Dashboard Emissões'!$B$3,'Aux Graficos'!$C$30:$AH$43,'Aux Graficos'!AF28,0)</f>
        <v>0</v>
      </c>
      <c r="AG45">
        <f>VLOOKUP('Dashboard Emissões'!$B$3,'Aux Graficos'!$C$30:$AH$43,'Aux Graficos'!AG28,0)</f>
        <v>0</v>
      </c>
      <c r="AH45">
        <f>VLOOKUP('Dashboard Emissões'!$B$3,'Aux Graficos'!$C$30:$AH$43,'Aux Graficos'!AH28,0)</f>
        <v>0.83</v>
      </c>
    </row>
    <row r="49" spans="3:17" ht="18.75" x14ac:dyDescent="0.25">
      <c r="E49" s="58" t="s">
        <v>28</v>
      </c>
      <c r="F49" s="59"/>
      <c r="G49" s="59"/>
      <c r="H49" s="59"/>
      <c r="I49" s="59"/>
      <c r="J49" s="59"/>
    </row>
    <row r="50" spans="3:17" x14ac:dyDescent="0.25">
      <c r="C50">
        <v>1</v>
      </c>
      <c r="D50">
        <v>2</v>
      </c>
      <c r="E50">
        <f>D50+1</f>
        <v>3</v>
      </c>
      <c r="F50">
        <f t="shared" ref="F50:O50" si="2">E50+1</f>
        <v>4</v>
      </c>
      <c r="G50">
        <f t="shared" si="2"/>
        <v>5</v>
      </c>
      <c r="H50">
        <f t="shared" si="2"/>
        <v>6</v>
      </c>
      <c r="I50">
        <f t="shared" si="2"/>
        <v>7</v>
      </c>
      <c r="J50">
        <f t="shared" si="2"/>
        <v>8</v>
      </c>
      <c r="K50">
        <f t="shared" si="2"/>
        <v>9</v>
      </c>
      <c r="L50">
        <f t="shared" si="2"/>
        <v>10</v>
      </c>
      <c r="M50">
        <f t="shared" si="2"/>
        <v>11</v>
      </c>
      <c r="N50">
        <f t="shared" si="2"/>
        <v>12</v>
      </c>
      <c r="O50">
        <f t="shared" si="2"/>
        <v>13</v>
      </c>
    </row>
    <row r="51" spans="3:17" x14ac:dyDescent="0.25">
      <c r="D51" s="6">
        <v>44197</v>
      </c>
      <c r="E51" s="6">
        <v>44228</v>
      </c>
      <c r="F51" s="6">
        <v>44256</v>
      </c>
      <c r="G51" s="6">
        <v>44287</v>
      </c>
      <c r="H51" s="6">
        <v>44317</v>
      </c>
      <c r="I51" s="6">
        <v>44197</v>
      </c>
      <c r="J51" s="6">
        <v>44197</v>
      </c>
      <c r="K51" s="6">
        <v>44197</v>
      </c>
      <c r="L51" s="6">
        <v>44197</v>
      </c>
      <c r="M51" s="6">
        <v>44197</v>
      </c>
      <c r="N51" s="6">
        <v>44197</v>
      </c>
      <c r="O51" s="6">
        <v>44197</v>
      </c>
      <c r="P51" s="6">
        <v>44197</v>
      </c>
      <c r="Q51" s="6">
        <v>44197</v>
      </c>
    </row>
    <row r="52" spans="3:17" x14ac:dyDescent="0.25">
      <c r="C52" s="1" t="s">
        <v>38</v>
      </c>
      <c r="D52" s="2">
        <v>1.5499999523162842</v>
      </c>
      <c r="E52" s="2">
        <v>2.0199999809265137</v>
      </c>
      <c r="F52" s="2">
        <v>3.4700000286102295</v>
      </c>
      <c r="G52" s="2">
        <v>11.899999618530273</v>
      </c>
      <c r="H52" s="3" t="s">
        <v>15</v>
      </c>
      <c r="I52" s="2">
        <v>1.25</v>
      </c>
      <c r="J52" s="2">
        <v>1.25</v>
      </c>
      <c r="K52" s="2">
        <v>1.25</v>
      </c>
      <c r="L52" s="2">
        <v>1.25</v>
      </c>
      <c r="M52" s="2">
        <v>1.25</v>
      </c>
      <c r="N52" s="2">
        <v>1.25</v>
      </c>
      <c r="O52" s="2">
        <v>1.25</v>
      </c>
      <c r="P52" s="2">
        <v>1.25</v>
      </c>
      <c r="Q52" s="2">
        <v>1.25</v>
      </c>
    </row>
    <row r="53" spans="3:17" x14ac:dyDescent="0.25">
      <c r="C53" s="1" t="s">
        <v>39</v>
      </c>
      <c r="D53" s="2">
        <v>729.8900146484375</v>
      </c>
      <c r="E53" s="2">
        <v>752.42999267578125</v>
      </c>
      <c r="F53" s="2">
        <v>731.66998291015625</v>
      </c>
      <c r="G53" s="2">
        <v>717.3599853515625</v>
      </c>
      <c r="H53" s="2">
        <v>724.4000244140625</v>
      </c>
      <c r="I53" s="2">
        <v>721.27001953125</v>
      </c>
      <c r="J53" s="2">
        <v>721.27001953125</v>
      </c>
      <c r="K53" s="2">
        <v>721.27001953125</v>
      </c>
      <c r="L53" s="2">
        <v>721.27001953125</v>
      </c>
      <c r="M53" s="2">
        <v>721.27001953125</v>
      </c>
      <c r="N53" s="2">
        <v>721.27001953125</v>
      </c>
      <c r="O53" s="2">
        <v>721.27001953125</v>
      </c>
      <c r="P53" s="2">
        <v>721.27001953125</v>
      </c>
      <c r="Q53" s="2">
        <v>721.27001953125</v>
      </c>
    </row>
    <row r="54" spans="3:17" x14ac:dyDescent="0.25">
      <c r="C54" s="1" t="s">
        <v>40</v>
      </c>
      <c r="D54" s="2">
        <v>881.1199951171875</v>
      </c>
      <c r="E54" s="2">
        <v>870.07000732421875</v>
      </c>
      <c r="F54" s="2">
        <v>918.1099853515625</v>
      </c>
      <c r="G54" s="2">
        <v>1036.239990234375</v>
      </c>
      <c r="H54" s="2">
        <v>711.20001220703125</v>
      </c>
      <c r="I54" s="2">
        <v>915.09002685546875</v>
      </c>
      <c r="J54" s="2">
        <v>915.09002685546875</v>
      </c>
      <c r="K54" s="2">
        <v>915.09002685546875</v>
      </c>
      <c r="L54" s="2">
        <v>915.09002685546875</v>
      </c>
      <c r="M54" s="2">
        <v>915.09002685546875</v>
      </c>
      <c r="N54" s="2">
        <v>915.09002685546875</v>
      </c>
      <c r="O54" s="2">
        <v>915.09002685546875</v>
      </c>
      <c r="P54" s="2">
        <v>915.09002685546875</v>
      </c>
      <c r="Q54" s="2">
        <v>915.09002685546875</v>
      </c>
    </row>
    <row r="55" spans="3:17" x14ac:dyDescent="0.25">
      <c r="C55" s="1" t="s">
        <v>41</v>
      </c>
      <c r="D55" s="2">
        <v>509.3800048828125</v>
      </c>
      <c r="E55" s="2">
        <v>485.57000732421875</v>
      </c>
      <c r="F55" s="2">
        <v>488.82000732421875</v>
      </c>
      <c r="G55" s="2">
        <v>681.530029296875</v>
      </c>
      <c r="H55" s="2">
        <v>637.6300048828125</v>
      </c>
      <c r="I55" s="2">
        <v>496.3800048828125</v>
      </c>
      <c r="J55" s="2">
        <v>496.3800048828125</v>
      </c>
      <c r="K55" s="2">
        <v>496.3800048828125</v>
      </c>
      <c r="L55" s="2">
        <v>496.3800048828125</v>
      </c>
      <c r="M55" s="2">
        <v>496.3800048828125</v>
      </c>
      <c r="N55" s="2">
        <v>496.3800048828125</v>
      </c>
      <c r="O55" s="2">
        <v>496.3800048828125</v>
      </c>
      <c r="P55" s="2">
        <v>496.3800048828125</v>
      </c>
      <c r="Q55" s="2">
        <v>496.3800048828125</v>
      </c>
    </row>
    <row r="56" spans="3:17" x14ac:dyDescent="0.25">
      <c r="C56" s="1" t="s">
        <v>42</v>
      </c>
      <c r="D56" s="2">
        <v>0.61000001430511475</v>
      </c>
      <c r="E56" s="2">
        <v>0.72000002861022949</v>
      </c>
      <c r="F56" s="2">
        <v>0.75</v>
      </c>
      <c r="G56" s="2">
        <v>0.5899999737739563</v>
      </c>
      <c r="H56" s="2">
        <v>0.40000000596046448</v>
      </c>
      <c r="I56" s="2">
        <v>0.5899999737739563</v>
      </c>
      <c r="J56" s="2">
        <v>0.5899999737739563</v>
      </c>
      <c r="K56" s="2">
        <v>0.5899999737739563</v>
      </c>
      <c r="L56" s="2">
        <v>0.5899999737739563</v>
      </c>
      <c r="M56" s="2">
        <v>0.5899999737739563</v>
      </c>
      <c r="N56" s="2">
        <v>0.5899999737739563</v>
      </c>
      <c r="O56" s="2">
        <v>0.5899999737739563</v>
      </c>
      <c r="P56" s="2">
        <v>0.5899999737739563</v>
      </c>
      <c r="Q56" s="2">
        <v>0.5899999737739563</v>
      </c>
    </row>
    <row r="57" spans="3:17" x14ac:dyDescent="0.25">
      <c r="C57" s="1" t="s">
        <v>43</v>
      </c>
      <c r="D57" s="2">
        <v>13.260000228881836</v>
      </c>
      <c r="E57" s="2">
        <v>12.859999656677246</v>
      </c>
      <c r="F57" s="2">
        <v>13.479999542236328</v>
      </c>
      <c r="G57" s="2">
        <v>14.279999732971191</v>
      </c>
      <c r="H57" s="2">
        <v>13.880000114440918</v>
      </c>
      <c r="I57" s="2">
        <v>13.5</v>
      </c>
      <c r="J57" s="2">
        <v>13.5</v>
      </c>
      <c r="K57" s="2">
        <v>13.5</v>
      </c>
      <c r="L57" s="2">
        <v>13.5</v>
      </c>
      <c r="M57" s="2">
        <v>13.5</v>
      </c>
      <c r="N57" s="2">
        <v>13.5</v>
      </c>
      <c r="O57" s="2">
        <v>13.5</v>
      </c>
      <c r="P57" s="2">
        <v>13.5</v>
      </c>
      <c r="Q57" s="2">
        <v>13.5</v>
      </c>
    </row>
    <row r="58" spans="3:17" x14ac:dyDescent="0.25">
      <c r="C58" s="1" t="s">
        <v>44</v>
      </c>
      <c r="D58" s="2">
        <v>26.770000457763672</v>
      </c>
      <c r="E58" s="2">
        <v>22.25</v>
      </c>
      <c r="F58" s="2">
        <v>33.209999084472656</v>
      </c>
      <c r="G58" s="2">
        <v>16.299999237060547</v>
      </c>
      <c r="H58" s="3" t="s">
        <v>15</v>
      </c>
      <c r="I58" s="2">
        <v>35.919998168945313</v>
      </c>
      <c r="J58" s="2">
        <v>35.919998168945313</v>
      </c>
      <c r="K58" s="2">
        <v>35.919998168945313</v>
      </c>
      <c r="L58" s="2">
        <v>35.919998168945313</v>
      </c>
      <c r="M58" s="2">
        <v>35.919998168945313</v>
      </c>
      <c r="N58" s="2">
        <v>35.919998168945313</v>
      </c>
      <c r="O58" s="2">
        <v>35.919998168945313</v>
      </c>
      <c r="P58" s="2">
        <v>35.919998168945313</v>
      </c>
      <c r="Q58" s="2">
        <v>35.919998168945313</v>
      </c>
    </row>
    <row r="59" spans="3:17" x14ac:dyDescent="0.25">
      <c r="C59" s="1" t="s">
        <v>45</v>
      </c>
      <c r="D59" s="2">
        <v>643.28997802734375</v>
      </c>
      <c r="E59" s="2">
        <v>641.69000244140625</v>
      </c>
      <c r="F59" s="2">
        <v>664.219970703125</v>
      </c>
      <c r="G59" s="2">
        <v>688.16998291015625</v>
      </c>
      <c r="H59" s="3" t="s">
        <v>15</v>
      </c>
      <c r="I59" s="2">
        <v>762.95001220703125</v>
      </c>
      <c r="J59" s="2">
        <v>762.95001220703125</v>
      </c>
      <c r="K59" s="2">
        <v>762.95001220703125</v>
      </c>
      <c r="L59" s="2">
        <v>762.95001220703125</v>
      </c>
      <c r="M59" s="2">
        <v>762.95001220703125</v>
      </c>
      <c r="N59" s="2">
        <v>762.95001220703125</v>
      </c>
      <c r="O59" s="2">
        <v>762.95001220703125</v>
      </c>
      <c r="P59" s="2">
        <v>762.95001220703125</v>
      </c>
      <c r="Q59" s="2">
        <v>762.95001220703125</v>
      </c>
    </row>
    <row r="60" spans="3:17" x14ac:dyDescent="0.25">
      <c r="C60" s="1" t="s">
        <v>46</v>
      </c>
      <c r="D60" s="2">
        <v>866.030029296875</v>
      </c>
      <c r="E60" s="2">
        <v>716.010009765625</v>
      </c>
      <c r="F60" s="2">
        <v>811.02001953125</v>
      </c>
      <c r="G60" s="2">
        <v>784.3800048828125</v>
      </c>
      <c r="H60" s="3" t="s">
        <v>15</v>
      </c>
      <c r="I60" s="2">
        <v>935.4000244140625</v>
      </c>
      <c r="J60" s="2">
        <v>935.4000244140625</v>
      </c>
      <c r="K60" s="2">
        <v>935.4000244140625</v>
      </c>
      <c r="L60" s="2">
        <v>935.4000244140625</v>
      </c>
      <c r="M60" s="2">
        <v>935.4000244140625</v>
      </c>
      <c r="N60" s="2">
        <v>935.4000244140625</v>
      </c>
      <c r="O60" s="2">
        <v>935.4000244140625</v>
      </c>
      <c r="P60" s="2">
        <v>935.4000244140625</v>
      </c>
      <c r="Q60" s="2">
        <v>935.4000244140625</v>
      </c>
    </row>
    <row r="61" spans="3:17" x14ac:dyDescent="0.25">
      <c r="C61" s="1" t="s">
        <v>47</v>
      </c>
      <c r="D61" s="2">
        <v>489.42999267578125</v>
      </c>
      <c r="E61" s="2">
        <v>522.33001708984375</v>
      </c>
      <c r="F61" s="2">
        <v>508.70999145507813</v>
      </c>
      <c r="G61" s="2">
        <v>661.44000244140625</v>
      </c>
      <c r="H61" s="3" t="s">
        <v>15</v>
      </c>
      <c r="I61" s="2">
        <v>423.77999877929688</v>
      </c>
      <c r="J61" s="2">
        <v>423.77999877929688</v>
      </c>
      <c r="K61" s="2">
        <v>423.77999877929688</v>
      </c>
      <c r="L61" s="2">
        <v>423.77999877929688</v>
      </c>
      <c r="M61" s="2">
        <v>423.77999877929688</v>
      </c>
      <c r="N61" s="2">
        <v>423.77999877929688</v>
      </c>
      <c r="O61" s="2">
        <v>423.77999877929688</v>
      </c>
      <c r="P61" s="2">
        <v>423.77999877929688</v>
      </c>
      <c r="Q61" s="2">
        <v>423.77999877929688</v>
      </c>
    </row>
    <row r="62" spans="3:17" x14ac:dyDescent="0.25">
      <c r="C62" s="1" t="s">
        <v>48</v>
      </c>
      <c r="D62" s="2">
        <v>0.77999997138977051</v>
      </c>
      <c r="E62" s="2">
        <v>0.69999998807907104</v>
      </c>
      <c r="F62" s="2">
        <v>0.67000001668930054</v>
      </c>
      <c r="G62" s="2">
        <v>0.74000000953674316</v>
      </c>
      <c r="H62" s="3" t="s">
        <v>15</v>
      </c>
      <c r="I62" s="2">
        <v>0.77999997138977051</v>
      </c>
      <c r="J62" s="2">
        <v>0.77999997138977051</v>
      </c>
      <c r="K62" s="2">
        <v>0.77999997138977051</v>
      </c>
      <c r="L62" s="2">
        <v>0.77999997138977051</v>
      </c>
      <c r="M62" s="2">
        <v>0.77999997138977051</v>
      </c>
      <c r="N62" s="2">
        <v>0.77999997138977051</v>
      </c>
      <c r="O62" s="2">
        <v>0.77999997138977051</v>
      </c>
      <c r="P62" s="2">
        <v>0.77999997138977051</v>
      </c>
      <c r="Q62" s="2">
        <v>0.77999997138977051</v>
      </c>
    </row>
    <row r="63" spans="3:17" x14ac:dyDescent="0.25">
      <c r="C63" s="1" t="s">
        <v>49</v>
      </c>
      <c r="D63" s="2">
        <v>14.720000267028809</v>
      </c>
      <c r="E63" s="2">
        <v>14.5</v>
      </c>
      <c r="F63" s="2">
        <v>14.819999694824219</v>
      </c>
      <c r="G63" s="2">
        <v>14.100000381469727</v>
      </c>
      <c r="H63" s="3" t="s">
        <v>15</v>
      </c>
      <c r="I63" s="2">
        <v>14.760000228881836</v>
      </c>
      <c r="J63" s="2">
        <v>14.760000228881836</v>
      </c>
      <c r="K63" s="2">
        <v>14.760000228881836</v>
      </c>
      <c r="L63" s="2">
        <v>14.760000228881836</v>
      </c>
      <c r="M63" s="2">
        <v>14.760000228881836</v>
      </c>
      <c r="N63" s="2">
        <v>14.760000228881836</v>
      </c>
      <c r="O63" s="2">
        <v>14.760000228881836</v>
      </c>
      <c r="P63" s="2">
        <v>14.760000228881836</v>
      </c>
      <c r="Q63" s="2">
        <v>14.760000228881836</v>
      </c>
    </row>
    <row r="64" spans="3:17" x14ac:dyDescent="0.25">
      <c r="C64" s="1" t="s">
        <v>50</v>
      </c>
      <c r="D64" s="3" t="s">
        <v>15</v>
      </c>
      <c r="E64" s="2">
        <v>7.3299999237060547</v>
      </c>
      <c r="F64" s="3" t="s">
        <v>15</v>
      </c>
      <c r="G64" s="3" t="s">
        <v>15</v>
      </c>
      <c r="H64" s="3" t="s">
        <v>15</v>
      </c>
      <c r="I64" s="3" t="s">
        <v>15</v>
      </c>
      <c r="J64" s="3" t="s">
        <v>15</v>
      </c>
      <c r="K64" s="3" t="s">
        <v>15</v>
      </c>
      <c r="L64" s="3" t="s">
        <v>15</v>
      </c>
      <c r="M64" s="3" t="s">
        <v>15</v>
      </c>
      <c r="N64" s="3" t="s">
        <v>15</v>
      </c>
      <c r="O64" s="3" t="s">
        <v>15</v>
      </c>
      <c r="P64" s="3" t="s">
        <v>15</v>
      </c>
      <c r="Q64" s="3" t="s">
        <v>15</v>
      </c>
    </row>
    <row r="65" spans="3:27" x14ac:dyDescent="0.25">
      <c r="C65" s="1" t="s">
        <v>51</v>
      </c>
      <c r="D65" s="2">
        <v>9.9499998092651367</v>
      </c>
      <c r="E65" s="2">
        <v>23.260000228881836</v>
      </c>
      <c r="F65" s="2">
        <v>2.690000057220459</v>
      </c>
      <c r="G65" s="2">
        <v>1.440000057220459</v>
      </c>
      <c r="H65" s="2">
        <v>1.1499999761581421</v>
      </c>
      <c r="I65" s="2">
        <v>16.659999847412109</v>
      </c>
      <c r="J65" s="2">
        <v>16.659999847412109</v>
      </c>
      <c r="K65" s="2">
        <v>16.659999847412109</v>
      </c>
      <c r="L65" s="2">
        <v>16.659999847412109</v>
      </c>
      <c r="M65" s="2">
        <v>16.659999847412109</v>
      </c>
      <c r="N65" s="2">
        <v>16.659999847412109</v>
      </c>
      <c r="O65" s="2">
        <v>16.659999847412109</v>
      </c>
      <c r="P65" s="2">
        <v>16.659999847412109</v>
      </c>
      <c r="Q65" s="2">
        <v>16.659999847412109</v>
      </c>
    </row>
    <row r="67" spans="3:27" x14ac:dyDescent="0.25">
      <c r="C67" s="15" t="s">
        <v>32</v>
      </c>
      <c r="D67" s="9">
        <f>VLOOKUP('Dashboard Emissões'!$B$3,'Aux Graficos'!$C$52:$O$65,'Aux Graficos'!D50,0)</f>
        <v>0.77999997138977051</v>
      </c>
      <c r="E67" s="9">
        <f>VLOOKUP('Dashboard Emissões'!$B$3,'Aux Graficos'!$C$52:$O$65,'Aux Graficos'!E50,0)</f>
        <v>0.69999998807907104</v>
      </c>
      <c r="F67" s="9">
        <f>VLOOKUP('Dashboard Emissões'!$B$3,'Aux Graficos'!$C$52:$O$65,'Aux Graficos'!F50,0)</f>
        <v>0.67000001668930054</v>
      </c>
      <c r="G67" s="9">
        <f>VLOOKUP('Dashboard Emissões'!$B$3,'Aux Graficos'!$C$52:$O$65,'Aux Graficos'!G50,0)</f>
        <v>0.74000000953674316</v>
      </c>
      <c r="H67" s="9" t="str">
        <f>VLOOKUP('Dashboard Emissões'!$B$3,'Aux Graficos'!$C$52:$O$65,'Aux Graficos'!H50,0)</f>
        <v>--</v>
      </c>
      <c r="I67" s="9">
        <f>VLOOKUP('Dashboard Emissões'!$B$3,'Aux Graficos'!$C$52:$O$65,'Aux Graficos'!I50,0)</f>
        <v>0.77999997138977051</v>
      </c>
      <c r="J67" s="9">
        <f>VLOOKUP('Dashboard Emissões'!$B$3,'Aux Graficos'!$C$52:$O$65,'Aux Graficos'!J50,0)</f>
        <v>0.77999997138977051</v>
      </c>
      <c r="K67" s="9">
        <f>VLOOKUP('Dashboard Emissões'!$B$3,'Aux Graficos'!$C$52:$O$65,'Aux Graficos'!K50,0)</f>
        <v>0.77999997138977051</v>
      </c>
      <c r="L67" s="9">
        <f>VLOOKUP('Dashboard Emissões'!$B$3,'Aux Graficos'!$C$52:$O$65,'Aux Graficos'!L50,0)</f>
        <v>0.77999997138977051</v>
      </c>
      <c r="M67" s="9">
        <f>VLOOKUP('Dashboard Emissões'!$B$3,'Aux Graficos'!$C$52:$O$65,'Aux Graficos'!M50,0)</f>
        <v>0.77999997138977051</v>
      </c>
      <c r="N67" s="9">
        <f>VLOOKUP('Dashboard Emissões'!$B$3,'Aux Graficos'!$C$52:$O$65,'Aux Graficos'!N50,0)</f>
        <v>0.77999997138977051</v>
      </c>
      <c r="O67" s="9">
        <f>VLOOKUP('Dashboard Emissões'!$B$3,'Aux Graficos'!$C$52:$O$65,'Aux Graficos'!O50,0)</f>
        <v>0.77999997138977051</v>
      </c>
    </row>
    <row r="70" spans="3:27" x14ac:dyDescent="0.25">
      <c r="P70" s="14"/>
      <c r="Q70" s="14"/>
      <c r="R70" s="14"/>
      <c r="S70" s="14"/>
      <c r="T70" s="14"/>
      <c r="U70" s="14"/>
      <c r="V70" s="14"/>
      <c r="W70" s="14"/>
    </row>
    <row r="73" spans="3:27" ht="18.75" x14ac:dyDescent="0.25">
      <c r="E73" s="58" t="s">
        <v>29</v>
      </c>
      <c r="F73" s="59"/>
      <c r="G73" s="59"/>
      <c r="H73" s="59"/>
      <c r="I73" s="59"/>
      <c r="J73" s="59"/>
    </row>
    <row r="74" spans="3:27" x14ac:dyDescent="0.25">
      <c r="C74">
        <v>1</v>
      </c>
      <c r="D74">
        <v>2</v>
      </c>
      <c r="E74">
        <v>3</v>
      </c>
      <c r="F74">
        <f>E74+1</f>
        <v>4</v>
      </c>
      <c r="G74">
        <f t="shared" ref="G74:AA74" si="3">F74+1</f>
        <v>5</v>
      </c>
      <c r="H74">
        <f t="shared" si="3"/>
        <v>6</v>
      </c>
      <c r="I74">
        <f t="shared" si="3"/>
        <v>7</v>
      </c>
      <c r="J74">
        <f t="shared" si="3"/>
        <v>8</v>
      </c>
      <c r="K74">
        <f t="shared" si="3"/>
        <v>9</v>
      </c>
      <c r="L74">
        <f t="shared" si="3"/>
        <v>10</v>
      </c>
      <c r="M74">
        <f t="shared" si="3"/>
        <v>11</v>
      </c>
      <c r="N74">
        <f t="shared" si="3"/>
        <v>12</v>
      </c>
      <c r="O74">
        <f t="shared" si="3"/>
        <v>13</v>
      </c>
      <c r="P74">
        <f t="shared" si="3"/>
        <v>14</v>
      </c>
      <c r="Q74">
        <f t="shared" si="3"/>
        <v>15</v>
      </c>
      <c r="R74">
        <f t="shared" si="3"/>
        <v>16</v>
      </c>
      <c r="S74">
        <f t="shared" si="3"/>
        <v>17</v>
      </c>
      <c r="T74">
        <f t="shared" si="3"/>
        <v>18</v>
      </c>
      <c r="U74">
        <f t="shared" si="3"/>
        <v>19</v>
      </c>
      <c r="V74">
        <f t="shared" si="3"/>
        <v>20</v>
      </c>
      <c r="W74">
        <f t="shared" si="3"/>
        <v>21</v>
      </c>
      <c r="X74">
        <f t="shared" si="3"/>
        <v>22</v>
      </c>
      <c r="Y74">
        <f t="shared" si="3"/>
        <v>23</v>
      </c>
      <c r="Z74">
        <f t="shared" si="3"/>
        <v>24</v>
      </c>
      <c r="AA74">
        <f t="shared" si="3"/>
        <v>25</v>
      </c>
    </row>
    <row r="75" spans="3:27" x14ac:dyDescent="0.25">
      <c r="D75" s="12">
        <f t="shared" ref="D75:AA75" si="4">D7</f>
        <v>44364.041666666664</v>
      </c>
      <c r="E75" s="12">
        <f t="shared" si="4"/>
        <v>44364.083333333336</v>
      </c>
      <c r="F75" s="12">
        <f t="shared" si="4"/>
        <v>44364.125</v>
      </c>
      <c r="G75" s="12">
        <f t="shared" si="4"/>
        <v>44364.166666666664</v>
      </c>
      <c r="H75" s="12">
        <f t="shared" si="4"/>
        <v>44364.208333333336</v>
      </c>
      <c r="I75" s="12">
        <f t="shared" si="4"/>
        <v>44364.25</v>
      </c>
      <c r="J75" s="12">
        <f t="shared" si="4"/>
        <v>44364.291666666664</v>
      </c>
      <c r="K75" s="12">
        <f t="shared" si="4"/>
        <v>44364.333333333336</v>
      </c>
      <c r="L75" s="12">
        <f t="shared" si="4"/>
        <v>44364.375</v>
      </c>
      <c r="M75" s="12">
        <f t="shared" si="4"/>
        <v>44364.416666666664</v>
      </c>
      <c r="N75" s="12">
        <f t="shared" si="4"/>
        <v>44364.458333333336</v>
      </c>
      <c r="O75" s="12">
        <f t="shared" si="4"/>
        <v>44364.5</v>
      </c>
      <c r="P75" s="12">
        <f t="shared" si="4"/>
        <v>44364.541666666664</v>
      </c>
      <c r="Q75" s="12">
        <f t="shared" si="4"/>
        <v>44364.583333333336</v>
      </c>
      <c r="R75" s="12">
        <f t="shared" si="4"/>
        <v>44364.625</v>
      </c>
      <c r="S75" s="12">
        <f t="shared" si="4"/>
        <v>44364.666666666664</v>
      </c>
      <c r="T75" s="12">
        <f t="shared" si="4"/>
        <v>44364.708333333336</v>
      </c>
      <c r="U75" s="12">
        <f t="shared" si="4"/>
        <v>44364.75</v>
      </c>
      <c r="V75" s="12">
        <f t="shared" si="4"/>
        <v>44364.791666666664</v>
      </c>
      <c r="W75" s="12">
        <f t="shared" si="4"/>
        <v>44364.833333333336</v>
      </c>
      <c r="X75" s="12">
        <f t="shared" si="4"/>
        <v>44364.875</v>
      </c>
      <c r="Y75" s="12">
        <f t="shared" si="4"/>
        <v>44364.916666666664</v>
      </c>
      <c r="Z75" s="12">
        <f t="shared" si="4"/>
        <v>44364.958333333336</v>
      </c>
      <c r="AA75" s="12">
        <f t="shared" si="4"/>
        <v>44365</v>
      </c>
    </row>
    <row r="76" spans="3:27" x14ac:dyDescent="0.25">
      <c r="C76" s="1" t="s">
        <v>38</v>
      </c>
      <c r="D76">
        <v>50</v>
      </c>
      <c r="E76">
        <v>50</v>
      </c>
      <c r="F76">
        <v>50</v>
      </c>
      <c r="G76">
        <v>50</v>
      </c>
      <c r="H76">
        <v>50</v>
      </c>
      <c r="I76">
        <v>50</v>
      </c>
      <c r="J76">
        <v>50</v>
      </c>
      <c r="K76">
        <v>50</v>
      </c>
      <c r="L76">
        <v>50</v>
      </c>
      <c r="M76">
        <v>50</v>
      </c>
      <c r="N76">
        <v>50</v>
      </c>
      <c r="O76">
        <v>50</v>
      </c>
      <c r="P76">
        <v>50</v>
      </c>
      <c r="Q76">
        <v>50</v>
      </c>
      <c r="R76">
        <v>50</v>
      </c>
      <c r="S76">
        <v>50</v>
      </c>
      <c r="T76">
        <v>50</v>
      </c>
      <c r="U76">
        <v>50</v>
      </c>
      <c r="V76">
        <v>50</v>
      </c>
      <c r="W76">
        <v>50</v>
      </c>
      <c r="X76">
        <v>50</v>
      </c>
      <c r="Y76">
        <v>50</v>
      </c>
      <c r="Z76">
        <v>50</v>
      </c>
      <c r="AA76">
        <v>50</v>
      </c>
    </row>
    <row r="77" spans="3:27" x14ac:dyDescent="0.25">
      <c r="C77" s="1" t="s">
        <v>39</v>
      </c>
      <c r="D77">
        <v>800</v>
      </c>
      <c r="E77">
        <v>800</v>
      </c>
      <c r="F77">
        <v>800</v>
      </c>
      <c r="G77">
        <v>800</v>
      </c>
      <c r="H77">
        <v>800</v>
      </c>
      <c r="I77">
        <v>800</v>
      </c>
      <c r="J77">
        <v>800</v>
      </c>
      <c r="K77">
        <v>800</v>
      </c>
      <c r="L77">
        <v>800</v>
      </c>
      <c r="M77">
        <v>800</v>
      </c>
      <c r="N77">
        <v>800</v>
      </c>
      <c r="O77">
        <v>800</v>
      </c>
      <c r="P77">
        <v>800</v>
      </c>
      <c r="Q77">
        <v>800</v>
      </c>
      <c r="R77">
        <v>800</v>
      </c>
      <c r="S77">
        <v>800</v>
      </c>
      <c r="T77">
        <v>800</v>
      </c>
      <c r="U77">
        <v>800</v>
      </c>
      <c r="V77">
        <v>800</v>
      </c>
      <c r="W77">
        <v>800</v>
      </c>
      <c r="X77">
        <v>800</v>
      </c>
      <c r="Y77">
        <v>800</v>
      </c>
      <c r="Z77">
        <v>800</v>
      </c>
      <c r="AA77">
        <v>800</v>
      </c>
    </row>
    <row r="78" spans="3:27" x14ac:dyDescent="0.25">
      <c r="C78" s="1" t="s">
        <v>40</v>
      </c>
      <c r="D78">
        <v>1320</v>
      </c>
      <c r="E78">
        <v>1320</v>
      </c>
      <c r="F78">
        <v>1320</v>
      </c>
      <c r="G78">
        <v>1320</v>
      </c>
      <c r="H78">
        <v>1320</v>
      </c>
      <c r="I78">
        <v>1320</v>
      </c>
      <c r="J78">
        <v>1320</v>
      </c>
      <c r="K78">
        <v>1320</v>
      </c>
      <c r="L78">
        <v>1320</v>
      </c>
      <c r="M78">
        <v>1320</v>
      </c>
      <c r="N78">
        <v>1320</v>
      </c>
      <c r="O78">
        <v>1320</v>
      </c>
      <c r="P78">
        <v>1320</v>
      </c>
      <c r="Q78">
        <v>1320</v>
      </c>
      <c r="R78">
        <v>1320</v>
      </c>
      <c r="S78">
        <v>1320</v>
      </c>
      <c r="T78">
        <v>1320</v>
      </c>
      <c r="U78">
        <v>1320</v>
      </c>
      <c r="V78">
        <v>1320</v>
      </c>
      <c r="W78">
        <v>1320</v>
      </c>
      <c r="X78">
        <v>1320</v>
      </c>
      <c r="Y78">
        <v>1320</v>
      </c>
      <c r="Z78">
        <v>1320</v>
      </c>
      <c r="AA78">
        <v>1320</v>
      </c>
    </row>
    <row r="79" spans="3:27" x14ac:dyDescent="0.25">
      <c r="C79" s="1"/>
    </row>
    <row r="80" spans="3:27" x14ac:dyDescent="0.25">
      <c r="C80" s="1" t="s">
        <v>42</v>
      </c>
      <c r="D80">
        <v>20</v>
      </c>
      <c r="E80">
        <v>20</v>
      </c>
      <c r="F80">
        <v>20</v>
      </c>
      <c r="G80">
        <v>20</v>
      </c>
      <c r="H80">
        <v>20</v>
      </c>
      <c r="I80">
        <v>20</v>
      </c>
      <c r="J80">
        <v>20</v>
      </c>
      <c r="K80">
        <v>20</v>
      </c>
      <c r="L80">
        <v>20</v>
      </c>
      <c r="M80">
        <v>20</v>
      </c>
      <c r="N80">
        <v>20</v>
      </c>
      <c r="O80">
        <v>20</v>
      </c>
      <c r="P80">
        <v>20</v>
      </c>
      <c r="Q80">
        <v>20</v>
      </c>
      <c r="R80">
        <v>20</v>
      </c>
      <c r="S80">
        <v>20</v>
      </c>
      <c r="T80">
        <v>20</v>
      </c>
      <c r="U80">
        <v>20</v>
      </c>
      <c r="V80">
        <v>20</v>
      </c>
      <c r="W80">
        <v>20</v>
      </c>
      <c r="X80">
        <v>20</v>
      </c>
      <c r="Y80">
        <v>20</v>
      </c>
      <c r="Z80">
        <v>20</v>
      </c>
      <c r="AA80">
        <v>20</v>
      </c>
    </row>
    <row r="81" spans="3:35" x14ac:dyDescent="0.25">
      <c r="C81" s="1"/>
    </row>
    <row r="82" spans="3:35" x14ac:dyDescent="0.25">
      <c r="C82" s="1" t="s">
        <v>44</v>
      </c>
      <c r="D82">
        <v>50</v>
      </c>
      <c r="E82">
        <v>50</v>
      </c>
      <c r="F82">
        <v>50</v>
      </c>
      <c r="G82">
        <v>50</v>
      </c>
      <c r="H82">
        <v>50</v>
      </c>
      <c r="I82">
        <v>50</v>
      </c>
      <c r="J82">
        <v>50</v>
      </c>
      <c r="K82">
        <v>50</v>
      </c>
      <c r="L82">
        <v>50</v>
      </c>
      <c r="M82">
        <v>50</v>
      </c>
      <c r="N82">
        <v>50</v>
      </c>
      <c r="O82">
        <v>50</v>
      </c>
      <c r="P82">
        <v>50</v>
      </c>
      <c r="Q82">
        <v>50</v>
      </c>
      <c r="R82">
        <v>50</v>
      </c>
      <c r="S82">
        <v>50</v>
      </c>
      <c r="T82">
        <v>50</v>
      </c>
      <c r="U82">
        <v>50</v>
      </c>
      <c r="V82">
        <v>50</v>
      </c>
      <c r="W82">
        <v>50</v>
      </c>
      <c r="X82">
        <v>50</v>
      </c>
      <c r="Y82">
        <v>50</v>
      </c>
      <c r="Z82">
        <v>50</v>
      </c>
      <c r="AA82">
        <v>50</v>
      </c>
    </row>
    <row r="83" spans="3:35" x14ac:dyDescent="0.25">
      <c r="C83" s="1" t="s">
        <v>45</v>
      </c>
      <c r="D83">
        <v>800</v>
      </c>
      <c r="E83">
        <v>800</v>
      </c>
      <c r="F83">
        <v>800</v>
      </c>
      <c r="G83">
        <v>800</v>
      </c>
      <c r="H83">
        <v>800</v>
      </c>
      <c r="I83">
        <v>800</v>
      </c>
      <c r="J83">
        <v>800</v>
      </c>
      <c r="K83">
        <v>800</v>
      </c>
      <c r="L83">
        <v>800</v>
      </c>
      <c r="M83">
        <v>800</v>
      </c>
      <c r="N83">
        <v>800</v>
      </c>
      <c r="O83">
        <v>800</v>
      </c>
      <c r="P83">
        <v>800</v>
      </c>
      <c r="Q83">
        <v>800</v>
      </c>
      <c r="R83">
        <v>800</v>
      </c>
      <c r="S83">
        <v>800</v>
      </c>
      <c r="T83">
        <v>800</v>
      </c>
      <c r="U83">
        <v>800</v>
      </c>
      <c r="V83">
        <v>800</v>
      </c>
      <c r="W83">
        <v>800</v>
      </c>
      <c r="X83">
        <v>800</v>
      </c>
      <c r="Y83">
        <v>800</v>
      </c>
      <c r="Z83">
        <v>800</v>
      </c>
      <c r="AA83">
        <v>800</v>
      </c>
    </row>
    <row r="84" spans="3:35" x14ac:dyDescent="0.25">
      <c r="C84" s="1" t="s">
        <v>46</v>
      </c>
      <c r="D84">
        <v>1320</v>
      </c>
      <c r="E84">
        <v>1320</v>
      </c>
      <c r="F84">
        <v>1320</v>
      </c>
      <c r="G84">
        <v>1320</v>
      </c>
      <c r="H84">
        <v>1320</v>
      </c>
      <c r="I84">
        <v>1320</v>
      </c>
      <c r="J84">
        <v>1320</v>
      </c>
      <c r="K84">
        <v>1320</v>
      </c>
      <c r="L84">
        <v>1320</v>
      </c>
      <c r="M84">
        <v>1320</v>
      </c>
      <c r="N84">
        <v>1320</v>
      </c>
      <c r="O84">
        <v>1320</v>
      </c>
      <c r="P84">
        <v>1320</v>
      </c>
      <c r="Q84">
        <v>1320</v>
      </c>
      <c r="R84">
        <v>1320</v>
      </c>
      <c r="S84">
        <v>1320</v>
      </c>
      <c r="T84">
        <v>1320</v>
      </c>
      <c r="U84">
        <v>1320</v>
      </c>
      <c r="V84">
        <v>1320</v>
      </c>
      <c r="W84">
        <v>1320</v>
      </c>
      <c r="X84">
        <v>1320</v>
      </c>
      <c r="Y84">
        <v>1320</v>
      </c>
      <c r="Z84">
        <v>1320</v>
      </c>
      <c r="AA84">
        <v>1320</v>
      </c>
    </row>
    <row r="85" spans="3:35" x14ac:dyDescent="0.25">
      <c r="C85" s="1"/>
    </row>
    <row r="86" spans="3:35" x14ac:dyDescent="0.25">
      <c r="C86" s="1" t="s">
        <v>48</v>
      </c>
      <c r="D86">
        <v>20</v>
      </c>
      <c r="E86">
        <v>20</v>
      </c>
      <c r="F86">
        <v>20</v>
      </c>
      <c r="G86">
        <v>20</v>
      </c>
      <c r="H86">
        <v>20</v>
      </c>
      <c r="I86">
        <v>20</v>
      </c>
      <c r="J86">
        <v>20</v>
      </c>
      <c r="K86">
        <v>20</v>
      </c>
      <c r="L86">
        <v>20</v>
      </c>
      <c r="M86">
        <v>20</v>
      </c>
      <c r="N86">
        <v>20</v>
      </c>
      <c r="O86">
        <v>20</v>
      </c>
      <c r="P86">
        <v>20</v>
      </c>
      <c r="Q86">
        <v>20</v>
      </c>
      <c r="R86">
        <v>20</v>
      </c>
      <c r="S86">
        <v>20</v>
      </c>
      <c r="T86">
        <v>20</v>
      </c>
      <c r="U86">
        <v>20</v>
      </c>
      <c r="V86">
        <v>20</v>
      </c>
      <c r="W86">
        <v>20</v>
      </c>
      <c r="X86">
        <v>20</v>
      </c>
      <c r="Y86">
        <v>20</v>
      </c>
      <c r="Z86">
        <v>20</v>
      </c>
      <c r="AA86">
        <v>20</v>
      </c>
    </row>
    <row r="87" spans="3:35" x14ac:dyDescent="0.25">
      <c r="C87" s="1"/>
      <c r="AB87" s="12"/>
      <c r="AC87" s="12"/>
      <c r="AD87" s="12"/>
    </row>
    <row r="88" spans="3:35" x14ac:dyDescent="0.25">
      <c r="C88" s="1" t="s">
        <v>50</v>
      </c>
      <c r="D88">
        <v>50</v>
      </c>
      <c r="E88">
        <v>50</v>
      </c>
      <c r="F88">
        <v>50</v>
      </c>
      <c r="G88">
        <v>50</v>
      </c>
      <c r="H88">
        <v>50</v>
      </c>
      <c r="I88">
        <v>50</v>
      </c>
      <c r="J88">
        <v>50</v>
      </c>
      <c r="K88">
        <v>50</v>
      </c>
      <c r="L88">
        <v>50</v>
      </c>
      <c r="M88">
        <v>50</v>
      </c>
      <c r="N88">
        <v>50</v>
      </c>
      <c r="O88">
        <v>50</v>
      </c>
      <c r="P88">
        <v>50</v>
      </c>
      <c r="Q88">
        <v>50</v>
      </c>
      <c r="R88">
        <v>50</v>
      </c>
      <c r="S88">
        <v>50</v>
      </c>
      <c r="T88">
        <v>50</v>
      </c>
      <c r="U88">
        <v>50</v>
      </c>
      <c r="V88">
        <v>50</v>
      </c>
      <c r="W88">
        <v>50</v>
      </c>
      <c r="X88">
        <v>50</v>
      </c>
      <c r="Y88">
        <v>50</v>
      </c>
      <c r="Z88">
        <v>50</v>
      </c>
      <c r="AA88">
        <v>50</v>
      </c>
    </row>
    <row r="89" spans="3:35" x14ac:dyDescent="0.25">
      <c r="C89" s="1" t="s">
        <v>51</v>
      </c>
      <c r="D89">
        <v>50</v>
      </c>
      <c r="E89">
        <v>50</v>
      </c>
      <c r="F89">
        <v>50</v>
      </c>
      <c r="G89">
        <v>50</v>
      </c>
      <c r="H89">
        <v>50</v>
      </c>
      <c r="I89">
        <v>50</v>
      </c>
      <c r="J89">
        <v>50</v>
      </c>
      <c r="K89">
        <v>50</v>
      </c>
      <c r="L89">
        <v>50</v>
      </c>
      <c r="M89">
        <v>50</v>
      </c>
      <c r="N89">
        <v>50</v>
      </c>
      <c r="O89">
        <v>50</v>
      </c>
      <c r="P89">
        <v>50</v>
      </c>
      <c r="Q89">
        <v>50</v>
      </c>
      <c r="R89">
        <v>50</v>
      </c>
      <c r="S89">
        <v>50</v>
      </c>
      <c r="T89">
        <v>50</v>
      </c>
      <c r="U89">
        <v>50</v>
      </c>
      <c r="V89">
        <v>50</v>
      </c>
      <c r="W89">
        <v>50</v>
      </c>
      <c r="X89">
        <v>50</v>
      </c>
      <c r="Y89">
        <v>50</v>
      </c>
      <c r="Z89">
        <v>50</v>
      </c>
      <c r="AA89">
        <v>50</v>
      </c>
    </row>
    <row r="91" spans="3:35" x14ac:dyDescent="0.25">
      <c r="C91" s="15" t="s">
        <v>32</v>
      </c>
      <c r="D91">
        <f>VLOOKUP('Dashboard Emissões'!$B$3,'Aux Graficos'!$C$76:$AA$89,'Aux Graficos'!D74,0)</f>
        <v>20</v>
      </c>
      <c r="E91">
        <f>VLOOKUP('Dashboard Emissões'!$B$3,'Aux Graficos'!$C$76:$AA$89,'Aux Graficos'!E74,0)</f>
        <v>20</v>
      </c>
      <c r="F91">
        <f>VLOOKUP('Dashboard Emissões'!$B$3,'Aux Graficos'!$C$76:$AA$89,'Aux Graficos'!F74,0)</f>
        <v>20</v>
      </c>
      <c r="G91">
        <f>VLOOKUP('Dashboard Emissões'!$B$3,'Aux Graficos'!$C$76:$AA$89,'Aux Graficos'!G74,0)</f>
        <v>20</v>
      </c>
      <c r="H91">
        <f>VLOOKUP('Dashboard Emissões'!$B$3,'Aux Graficos'!$C$76:$AA$89,'Aux Graficos'!H74,0)</f>
        <v>20</v>
      </c>
      <c r="I91">
        <f>VLOOKUP('Dashboard Emissões'!$B$3,'Aux Graficos'!$C$76:$AA$89,'Aux Graficos'!I74,0)</f>
        <v>20</v>
      </c>
      <c r="J91">
        <f>VLOOKUP('Dashboard Emissões'!$B$3,'Aux Graficos'!$C$76:$AA$89,'Aux Graficos'!J74,0)</f>
        <v>20</v>
      </c>
      <c r="K91">
        <f>VLOOKUP('Dashboard Emissões'!$B$3,'Aux Graficos'!$C$76:$AA$89,'Aux Graficos'!K74,0)</f>
        <v>20</v>
      </c>
      <c r="L91">
        <f>VLOOKUP('Dashboard Emissões'!$B$3,'Aux Graficos'!$C$76:$AA$89,'Aux Graficos'!L74,0)</f>
        <v>20</v>
      </c>
      <c r="M91">
        <f>VLOOKUP('Dashboard Emissões'!$B$3,'Aux Graficos'!$C$76:$AA$89,'Aux Graficos'!M74,0)</f>
        <v>20</v>
      </c>
      <c r="N91">
        <f>VLOOKUP('Dashboard Emissões'!$B$3,'Aux Graficos'!$C$76:$AA$89,'Aux Graficos'!N74,0)</f>
        <v>20</v>
      </c>
      <c r="O91">
        <f>VLOOKUP('Dashboard Emissões'!$B$3,'Aux Graficos'!$C$76:$AA$89,'Aux Graficos'!O74,0)</f>
        <v>20</v>
      </c>
      <c r="P91">
        <f>VLOOKUP('Dashboard Emissões'!$B$3,'Aux Graficos'!$C$76:$AA$89,'Aux Graficos'!P74,0)</f>
        <v>20</v>
      </c>
      <c r="Q91">
        <f>VLOOKUP('Dashboard Emissões'!$B$3,'Aux Graficos'!$C$76:$AA$89,'Aux Graficos'!Q74,0)</f>
        <v>20</v>
      </c>
      <c r="R91">
        <f>VLOOKUP('Dashboard Emissões'!$B$3,'Aux Graficos'!$C$76:$AA$89,'Aux Graficos'!R74,0)</f>
        <v>20</v>
      </c>
      <c r="S91">
        <f>VLOOKUP('Dashboard Emissões'!$B$3,'Aux Graficos'!$C$76:$AA$89,'Aux Graficos'!S74,0)</f>
        <v>20</v>
      </c>
      <c r="T91">
        <f>VLOOKUP('Dashboard Emissões'!$B$3,'Aux Graficos'!$C$76:$AA$89,'Aux Graficos'!T74,0)</f>
        <v>20</v>
      </c>
      <c r="U91">
        <f>VLOOKUP('Dashboard Emissões'!$B$3,'Aux Graficos'!$C$76:$AA$89,'Aux Graficos'!U74,0)</f>
        <v>20</v>
      </c>
      <c r="V91">
        <f>VLOOKUP('Dashboard Emissões'!$B$3,'Aux Graficos'!$C$76:$AA$89,'Aux Graficos'!V74,0)</f>
        <v>20</v>
      </c>
      <c r="W91">
        <f>VLOOKUP('Dashboard Emissões'!$B$3,'Aux Graficos'!$C$76:$AA$89,'Aux Graficos'!W74,0)</f>
        <v>20</v>
      </c>
      <c r="X91">
        <f>VLOOKUP('Dashboard Emissões'!$B$3,'Aux Graficos'!$C$76:$AA$89,'Aux Graficos'!X74,0)</f>
        <v>20</v>
      </c>
      <c r="Y91">
        <f>VLOOKUP('Dashboard Emissões'!$B$3,'Aux Graficos'!$C$76:$AA$89,'Aux Graficos'!Y74,0)</f>
        <v>20</v>
      </c>
      <c r="Z91">
        <f>VLOOKUP('Dashboard Emissões'!$B$3,'Aux Graficos'!$C$76:$AA$89,'Aux Graficos'!Z74,0)</f>
        <v>20</v>
      </c>
      <c r="AA91">
        <f>VLOOKUP('Dashboard Emissões'!$B$3,'Aux Graficos'!$C$76:$AA$89,'Aux Graficos'!AA74,0)</f>
        <v>20</v>
      </c>
    </row>
    <row r="95" spans="3:35" ht="18.75" x14ac:dyDescent="0.25">
      <c r="E95" s="61" t="s">
        <v>30</v>
      </c>
      <c r="F95" s="61"/>
      <c r="G95" s="61"/>
      <c r="H95" s="61"/>
      <c r="I95" s="61"/>
      <c r="J95" s="61"/>
    </row>
    <row r="96" spans="3:35" x14ac:dyDescent="0.25">
      <c r="C96">
        <v>1</v>
      </c>
      <c r="D96">
        <f>C96+1</f>
        <v>2</v>
      </c>
      <c r="E96">
        <f t="shared" ref="E96:AI96" si="5">D96+1</f>
        <v>3</v>
      </c>
      <c r="F96">
        <f t="shared" si="5"/>
        <v>4</v>
      </c>
      <c r="G96">
        <f t="shared" si="5"/>
        <v>5</v>
      </c>
      <c r="H96">
        <f t="shared" si="5"/>
        <v>6</v>
      </c>
      <c r="I96">
        <f t="shared" si="5"/>
        <v>7</v>
      </c>
      <c r="J96">
        <f t="shared" si="5"/>
        <v>8</v>
      </c>
      <c r="K96">
        <f t="shared" si="5"/>
        <v>9</v>
      </c>
      <c r="L96">
        <f t="shared" si="5"/>
        <v>10</v>
      </c>
      <c r="M96">
        <f t="shared" si="5"/>
        <v>11</v>
      </c>
      <c r="N96">
        <f t="shared" si="5"/>
        <v>12</v>
      </c>
      <c r="O96">
        <f t="shared" si="5"/>
        <v>13</v>
      </c>
      <c r="P96">
        <f t="shared" si="5"/>
        <v>14</v>
      </c>
      <c r="Q96">
        <f t="shared" si="5"/>
        <v>15</v>
      </c>
      <c r="R96">
        <f t="shared" si="5"/>
        <v>16</v>
      </c>
      <c r="S96">
        <f t="shared" si="5"/>
        <v>17</v>
      </c>
      <c r="T96">
        <f t="shared" si="5"/>
        <v>18</v>
      </c>
      <c r="U96">
        <f t="shared" si="5"/>
        <v>19</v>
      </c>
      <c r="V96">
        <f t="shared" si="5"/>
        <v>20</v>
      </c>
      <c r="W96">
        <f t="shared" si="5"/>
        <v>21</v>
      </c>
      <c r="X96">
        <f t="shared" si="5"/>
        <v>22</v>
      </c>
      <c r="Y96">
        <f t="shared" si="5"/>
        <v>23</v>
      </c>
      <c r="Z96">
        <f t="shared" si="5"/>
        <v>24</v>
      </c>
      <c r="AA96">
        <f t="shared" si="5"/>
        <v>25</v>
      </c>
      <c r="AB96">
        <f t="shared" si="5"/>
        <v>26</v>
      </c>
      <c r="AC96">
        <f t="shared" si="5"/>
        <v>27</v>
      </c>
      <c r="AD96">
        <f t="shared" si="5"/>
        <v>28</v>
      </c>
      <c r="AE96">
        <f t="shared" si="5"/>
        <v>29</v>
      </c>
      <c r="AF96">
        <f t="shared" si="5"/>
        <v>30</v>
      </c>
      <c r="AG96">
        <f t="shared" si="5"/>
        <v>31</v>
      </c>
      <c r="AH96">
        <f t="shared" si="5"/>
        <v>32</v>
      </c>
      <c r="AI96">
        <f t="shared" si="5"/>
        <v>33</v>
      </c>
    </row>
    <row r="97" spans="3:36" x14ac:dyDescent="0.25">
      <c r="D97" s="35">
        <f t="shared" ref="D97:AH97" si="6">D29</f>
        <v>44348</v>
      </c>
      <c r="E97" s="35">
        <f t="shared" si="6"/>
        <v>44349</v>
      </c>
      <c r="F97" s="35">
        <f t="shared" si="6"/>
        <v>44350</v>
      </c>
      <c r="G97" s="35">
        <f t="shared" si="6"/>
        <v>44351</v>
      </c>
      <c r="H97" s="35">
        <f t="shared" si="6"/>
        <v>44352</v>
      </c>
      <c r="I97" s="35">
        <f t="shared" si="6"/>
        <v>44353</v>
      </c>
      <c r="J97" s="35">
        <f t="shared" si="6"/>
        <v>44354</v>
      </c>
      <c r="K97" s="35">
        <f t="shared" si="6"/>
        <v>44355</v>
      </c>
      <c r="L97" s="35">
        <f t="shared" si="6"/>
        <v>44356</v>
      </c>
      <c r="M97" s="35">
        <f t="shared" si="6"/>
        <v>44357</v>
      </c>
      <c r="N97" s="35">
        <f t="shared" si="6"/>
        <v>44358</v>
      </c>
      <c r="O97" s="35">
        <f t="shared" si="6"/>
        <v>44359</v>
      </c>
      <c r="P97" s="35">
        <f t="shared" si="6"/>
        <v>44360</v>
      </c>
      <c r="Q97" s="35">
        <f t="shared" si="6"/>
        <v>44361</v>
      </c>
      <c r="R97" s="35">
        <f t="shared" si="6"/>
        <v>44362</v>
      </c>
      <c r="S97" s="35">
        <f t="shared" si="6"/>
        <v>44363</v>
      </c>
      <c r="T97" s="35">
        <f t="shared" si="6"/>
        <v>44364</v>
      </c>
      <c r="U97" s="35">
        <f t="shared" si="6"/>
        <v>44365</v>
      </c>
      <c r="V97" s="35">
        <f t="shared" si="6"/>
        <v>44366</v>
      </c>
      <c r="W97" s="35">
        <f t="shared" si="6"/>
        <v>44367</v>
      </c>
      <c r="X97" s="35">
        <f t="shared" si="6"/>
        <v>44368</v>
      </c>
      <c r="Y97" s="35">
        <f t="shared" si="6"/>
        <v>44369</v>
      </c>
      <c r="Z97" s="35">
        <f t="shared" si="6"/>
        <v>44370</v>
      </c>
      <c r="AA97" s="35">
        <f t="shared" si="6"/>
        <v>44371</v>
      </c>
      <c r="AB97" s="35">
        <f t="shared" si="6"/>
        <v>44372</v>
      </c>
      <c r="AC97" s="35">
        <f t="shared" si="6"/>
        <v>44373</v>
      </c>
      <c r="AD97" s="35">
        <f t="shared" si="6"/>
        <v>44374</v>
      </c>
      <c r="AE97" s="35">
        <f t="shared" si="6"/>
        <v>44375</v>
      </c>
      <c r="AF97" s="35">
        <f t="shared" si="6"/>
        <v>44376</v>
      </c>
      <c r="AG97" s="35">
        <f t="shared" si="6"/>
        <v>44377</v>
      </c>
      <c r="AH97" s="13">
        <f t="shared" si="6"/>
        <v>44347</v>
      </c>
      <c r="AI97" s="13">
        <f>AI22</f>
        <v>0</v>
      </c>
      <c r="AJ97" s="13">
        <f>AJ22</f>
        <v>0</v>
      </c>
    </row>
    <row r="98" spans="3:36" x14ac:dyDescent="0.25">
      <c r="C98" s="1" t="s">
        <v>38</v>
      </c>
      <c r="D98">
        <v>50</v>
      </c>
      <c r="E98">
        <v>50</v>
      </c>
      <c r="F98">
        <v>50</v>
      </c>
      <c r="G98">
        <v>50</v>
      </c>
      <c r="H98">
        <v>50</v>
      </c>
      <c r="I98">
        <v>50</v>
      </c>
      <c r="J98">
        <v>50</v>
      </c>
      <c r="K98">
        <v>50</v>
      </c>
      <c r="L98">
        <v>50</v>
      </c>
      <c r="M98">
        <v>50</v>
      </c>
      <c r="N98">
        <v>50</v>
      </c>
      <c r="O98">
        <v>50</v>
      </c>
      <c r="P98">
        <v>50</v>
      </c>
      <c r="Q98">
        <v>50</v>
      </c>
      <c r="R98">
        <v>50</v>
      </c>
      <c r="S98">
        <v>50</v>
      </c>
      <c r="T98">
        <v>50</v>
      </c>
      <c r="U98">
        <v>50</v>
      </c>
      <c r="V98">
        <v>50</v>
      </c>
      <c r="W98">
        <v>50</v>
      </c>
      <c r="X98">
        <v>50</v>
      </c>
      <c r="Y98">
        <v>50</v>
      </c>
      <c r="Z98">
        <v>50</v>
      </c>
      <c r="AA98">
        <v>50</v>
      </c>
      <c r="AB98">
        <v>50</v>
      </c>
      <c r="AC98">
        <v>50</v>
      </c>
      <c r="AD98">
        <v>50</v>
      </c>
      <c r="AE98">
        <v>50</v>
      </c>
      <c r="AF98">
        <v>50</v>
      </c>
      <c r="AG98">
        <v>50</v>
      </c>
      <c r="AH98">
        <v>50</v>
      </c>
      <c r="AI98">
        <v>50</v>
      </c>
    </row>
    <row r="99" spans="3:36" x14ac:dyDescent="0.25">
      <c r="C99" s="1" t="s">
        <v>39</v>
      </c>
      <c r="D99">
        <v>800</v>
      </c>
      <c r="E99">
        <v>800</v>
      </c>
      <c r="F99">
        <v>800</v>
      </c>
      <c r="G99">
        <v>800</v>
      </c>
      <c r="H99">
        <v>800</v>
      </c>
      <c r="I99">
        <v>800</v>
      </c>
      <c r="J99">
        <v>800</v>
      </c>
      <c r="K99">
        <v>800</v>
      </c>
      <c r="L99">
        <v>800</v>
      </c>
      <c r="M99">
        <v>800</v>
      </c>
      <c r="N99">
        <v>800</v>
      </c>
      <c r="O99">
        <v>800</v>
      </c>
      <c r="P99">
        <v>800</v>
      </c>
      <c r="Q99">
        <v>800</v>
      </c>
      <c r="R99">
        <v>800</v>
      </c>
      <c r="S99">
        <v>800</v>
      </c>
      <c r="T99">
        <v>800</v>
      </c>
      <c r="U99">
        <v>800</v>
      </c>
      <c r="V99">
        <v>800</v>
      </c>
      <c r="W99">
        <v>800</v>
      </c>
      <c r="X99">
        <v>800</v>
      </c>
      <c r="Y99">
        <v>800</v>
      </c>
      <c r="Z99">
        <v>800</v>
      </c>
      <c r="AA99">
        <v>800</v>
      </c>
      <c r="AB99">
        <v>800</v>
      </c>
      <c r="AC99">
        <v>800</v>
      </c>
      <c r="AD99">
        <v>800</v>
      </c>
      <c r="AE99">
        <v>800</v>
      </c>
      <c r="AF99">
        <v>800</v>
      </c>
      <c r="AG99">
        <v>800</v>
      </c>
      <c r="AH99">
        <v>800</v>
      </c>
      <c r="AI99">
        <v>800</v>
      </c>
    </row>
    <row r="100" spans="3:36" x14ac:dyDescent="0.25">
      <c r="C100" s="1" t="s">
        <v>40</v>
      </c>
      <c r="D100">
        <v>1320</v>
      </c>
      <c r="E100">
        <v>1320</v>
      </c>
      <c r="F100">
        <v>1320</v>
      </c>
      <c r="G100">
        <v>1320</v>
      </c>
      <c r="H100">
        <v>1320</v>
      </c>
      <c r="I100">
        <v>1320</v>
      </c>
      <c r="J100">
        <v>1320</v>
      </c>
      <c r="K100">
        <v>1320</v>
      </c>
      <c r="L100">
        <v>1320</v>
      </c>
      <c r="M100">
        <v>1320</v>
      </c>
      <c r="N100">
        <v>1320</v>
      </c>
      <c r="O100">
        <v>1320</v>
      </c>
      <c r="P100">
        <v>1320</v>
      </c>
      <c r="Q100">
        <v>1320</v>
      </c>
      <c r="R100">
        <v>1320</v>
      </c>
      <c r="S100">
        <v>1320</v>
      </c>
      <c r="T100">
        <v>1320</v>
      </c>
      <c r="U100">
        <v>1320</v>
      </c>
      <c r="V100">
        <v>1320</v>
      </c>
      <c r="W100">
        <v>1320</v>
      </c>
      <c r="X100">
        <v>1320</v>
      </c>
      <c r="Y100">
        <v>1320</v>
      </c>
      <c r="Z100">
        <v>1320</v>
      </c>
      <c r="AA100">
        <v>1320</v>
      </c>
      <c r="AB100">
        <v>1320</v>
      </c>
      <c r="AC100">
        <v>1320</v>
      </c>
      <c r="AD100">
        <v>1320</v>
      </c>
      <c r="AE100">
        <v>1320</v>
      </c>
      <c r="AF100">
        <v>1320</v>
      </c>
      <c r="AG100">
        <v>1320</v>
      </c>
      <c r="AH100">
        <v>1320</v>
      </c>
      <c r="AI100">
        <v>1320</v>
      </c>
    </row>
    <row r="101" spans="3:36" x14ac:dyDescent="0.25">
      <c r="C101" s="1"/>
    </row>
    <row r="102" spans="3:36" x14ac:dyDescent="0.25">
      <c r="C102" s="1" t="s">
        <v>42</v>
      </c>
      <c r="D102">
        <v>20</v>
      </c>
      <c r="E102">
        <v>20</v>
      </c>
      <c r="F102">
        <v>20</v>
      </c>
      <c r="G102">
        <v>20</v>
      </c>
      <c r="H102">
        <v>20</v>
      </c>
      <c r="I102">
        <v>20</v>
      </c>
      <c r="J102">
        <v>20</v>
      </c>
      <c r="K102">
        <v>20</v>
      </c>
      <c r="L102">
        <v>20</v>
      </c>
      <c r="M102">
        <v>20</v>
      </c>
      <c r="N102">
        <v>20</v>
      </c>
      <c r="O102">
        <v>20</v>
      </c>
      <c r="P102">
        <v>20</v>
      </c>
      <c r="Q102">
        <v>20</v>
      </c>
      <c r="R102">
        <v>20</v>
      </c>
      <c r="S102">
        <v>20</v>
      </c>
      <c r="T102">
        <v>20</v>
      </c>
      <c r="U102">
        <v>20</v>
      </c>
      <c r="V102">
        <v>20</v>
      </c>
      <c r="W102">
        <v>20</v>
      </c>
      <c r="X102">
        <v>20</v>
      </c>
      <c r="Y102">
        <v>20</v>
      </c>
      <c r="Z102">
        <v>20</v>
      </c>
      <c r="AA102">
        <v>20</v>
      </c>
      <c r="AB102">
        <v>20</v>
      </c>
      <c r="AC102">
        <v>20</v>
      </c>
      <c r="AD102">
        <v>20</v>
      </c>
      <c r="AE102">
        <v>20</v>
      </c>
      <c r="AF102">
        <v>20</v>
      </c>
      <c r="AG102">
        <v>20</v>
      </c>
      <c r="AH102">
        <v>20</v>
      </c>
      <c r="AI102">
        <v>20</v>
      </c>
    </row>
    <row r="103" spans="3:36" x14ac:dyDescent="0.25">
      <c r="C103" s="1"/>
    </row>
    <row r="104" spans="3:36" x14ac:dyDescent="0.25">
      <c r="C104" s="1" t="s">
        <v>44</v>
      </c>
      <c r="D104">
        <v>50</v>
      </c>
      <c r="E104">
        <v>50</v>
      </c>
      <c r="F104">
        <v>50</v>
      </c>
      <c r="G104">
        <v>50</v>
      </c>
      <c r="H104">
        <v>50</v>
      </c>
      <c r="I104">
        <v>50</v>
      </c>
      <c r="J104">
        <v>50</v>
      </c>
      <c r="K104">
        <v>50</v>
      </c>
      <c r="L104">
        <v>50</v>
      </c>
      <c r="M104">
        <v>50</v>
      </c>
      <c r="N104">
        <v>50</v>
      </c>
      <c r="O104">
        <v>50</v>
      </c>
      <c r="P104">
        <v>50</v>
      </c>
      <c r="Q104">
        <v>50</v>
      </c>
      <c r="R104">
        <v>50</v>
      </c>
      <c r="S104">
        <v>50</v>
      </c>
      <c r="T104">
        <v>50</v>
      </c>
      <c r="U104">
        <v>50</v>
      </c>
      <c r="V104">
        <v>50</v>
      </c>
      <c r="W104">
        <v>50</v>
      </c>
      <c r="X104">
        <v>50</v>
      </c>
      <c r="Y104">
        <v>50</v>
      </c>
      <c r="Z104">
        <v>50</v>
      </c>
      <c r="AA104">
        <v>50</v>
      </c>
      <c r="AB104">
        <v>50</v>
      </c>
      <c r="AC104">
        <v>50</v>
      </c>
      <c r="AD104">
        <v>50</v>
      </c>
      <c r="AE104">
        <v>50</v>
      </c>
      <c r="AF104">
        <v>50</v>
      </c>
      <c r="AG104">
        <v>50</v>
      </c>
      <c r="AH104">
        <v>50</v>
      </c>
      <c r="AI104">
        <v>50</v>
      </c>
    </row>
    <row r="105" spans="3:36" x14ac:dyDescent="0.25">
      <c r="C105" s="1" t="s">
        <v>45</v>
      </c>
      <c r="D105">
        <v>800</v>
      </c>
      <c r="E105">
        <v>800</v>
      </c>
      <c r="F105">
        <v>800</v>
      </c>
      <c r="G105">
        <v>800</v>
      </c>
      <c r="H105">
        <v>800</v>
      </c>
      <c r="I105">
        <v>800</v>
      </c>
      <c r="J105">
        <v>800</v>
      </c>
      <c r="K105">
        <v>800</v>
      </c>
      <c r="L105">
        <v>800</v>
      </c>
      <c r="M105">
        <v>800</v>
      </c>
      <c r="N105">
        <v>800</v>
      </c>
      <c r="O105">
        <v>800</v>
      </c>
      <c r="P105">
        <v>800</v>
      </c>
      <c r="Q105">
        <v>800</v>
      </c>
      <c r="R105">
        <v>800</v>
      </c>
      <c r="S105">
        <v>800</v>
      </c>
      <c r="T105">
        <v>800</v>
      </c>
      <c r="U105">
        <v>800</v>
      </c>
      <c r="V105">
        <v>800</v>
      </c>
      <c r="W105">
        <v>800</v>
      </c>
      <c r="X105">
        <v>800</v>
      </c>
      <c r="Y105">
        <v>800</v>
      </c>
      <c r="Z105">
        <v>800</v>
      </c>
      <c r="AA105">
        <v>800</v>
      </c>
      <c r="AB105">
        <v>800</v>
      </c>
      <c r="AC105">
        <v>800</v>
      </c>
      <c r="AD105">
        <v>800</v>
      </c>
      <c r="AE105">
        <v>800</v>
      </c>
      <c r="AF105">
        <v>800</v>
      </c>
      <c r="AG105">
        <v>800</v>
      </c>
      <c r="AH105">
        <v>800</v>
      </c>
      <c r="AI105">
        <v>800</v>
      </c>
    </row>
    <row r="106" spans="3:36" x14ac:dyDescent="0.25">
      <c r="C106" s="1" t="s">
        <v>46</v>
      </c>
      <c r="D106">
        <v>1320</v>
      </c>
      <c r="E106">
        <v>1320</v>
      </c>
      <c r="F106">
        <v>1320</v>
      </c>
      <c r="G106">
        <v>1320</v>
      </c>
      <c r="H106">
        <v>1320</v>
      </c>
      <c r="I106">
        <v>1320</v>
      </c>
      <c r="J106">
        <v>1320</v>
      </c>
      <c r="K106">
        <v>1320</v>
      </c>
      <c r="L106">
        <v>1320</v>
      </c>
      <c r="M106">
        <v>1320</v>
      </c>
      <c r="N106">
        <v>1320</v>
      </c>
      <c r="O106">
        <v>1320</v>
      </c>
      <c r="P106">
        <v>1320</v>
      </c>
      <c r="Q106">
        <v>1320</v>
      </c>
      <c r="R106">
        <v>1320</v>
      </c>
      <c r="S106">
        <v>1320</v>
      </c>
      <c r="T106">
        <v>1320</v>
      </c>
      <c r="U106">
        <v>1320</v>
      </c>
      <c r="V106">
        <v>1320</v>
      </c>
      <c r="W106">
        <v>1320</v>
      </c>
      <c r="X106">
        <v>1320</v>
      </c>
      <c r="Y106">
        <v>1320</v>
      </c>
      <c r="Z106">
        <v>1320</v>
      </c>
      <c r="AA106">
        <v>1320</v>
      </c>
      <c r="AB106">
        <v>1320</v>
      </c>
      <c r="AC106">
        <v>1320</v>
      </c>
      <c r="AD106">
        <v>1320</v>
      </c>
      <c r="AE106">
        <v>1320</v>
      </c>
      <c r="AF106">
        <v>1320</v>
      </c>
      <c r="AG106">
        <v>1320</v>
      </c>
      <c r="AH106">
        <v>1320</v>
      </c>
      <c r="AI106">
        <v>1320</v>
      </c>
    </row>
    <row r="107" spans="3:36" x14ac:dyDescent="0.25">
      <c r="C107" s="1"/>
    </row>
    <row r="108" spans="3:36" x14ac:dyDescent="0.25">
      <c r="C108" s="1" t="s">
        <v>48</v>
      </c>
      <c r="D108">
        <v>20</v>
      </c>
      <c r="E108">
        <v>20</v>
      </c>
      <c r="F108">
        <v>20</v>
      </c>
      <c r="G108">
        <v>20</v>
      </c>
      <c r="H108">
        <v>20</v>
      </c>
      <c r="I108">
        <v>20</v>
      </c>
      <c r="J108">
        <v>20</v>
      </c>
      <c r="K108">
        <v>20</v>
      </c>
      <c r="L108">
        <v>20</v>
      </c>
      <c r="M108">
        <v>20</v>
      </c>
      <c r="N108">
        <v>20</v>
      </c>
      <c r="O108">
        <v>20</v>
      </c>
      <c r="P108">
        <v>20</v>
      </c>
      <c r="Q108">
        <v>20</v>
      </c>
      <c r="R108">
        <v>20</v>
      </c>
      <c r="S108">
        <v>20</v>
      </c>
      <c r="T108">
        <v>20</v>
      </c>
      <c r="U108">
        <v>20</v>
      </c>
      <c r="V108">
        <v>20</v>
      </c>
      <c r="W108">
        <v>20</v>
      </c>
      <c r="X108">
        <v>20</v>
      </c>
      <c r="Y108">
        <v>20</v>
      </c>
      <c r="Z108">
        <v>20</v>
      </c>
      <c r="AA108">
        <v>20</v>
      </c>
      <c r="AB108">
        <v>20</v>
      </c>
      <c r="AC108">
        <v>20</v>
      </c>
      <c r="AD108">
        <v>20</v>
      </c>
      <c r="AE108">
        <v>20</v>
      </c>
      <c r="AF108">
        <v>20</v>
      </c>
      <c r="AG108">
        <v>20</v>
      </c>
      <c r="AH108">
        <v>20</v>
      </c>
      <c r="AI108">
        <v>20</v>
      </c>
    </row>
    <row r="109" spans="3:36" x14ac:dyDescent="0.25">
      <c r="C109" s="1"/>
    </row>
    <row r="110" spans="3:36" x14ac:dyDescent="0.25">
      <c r="C110" s="1" t="s">
        <v>50</v>
      </c>
      <c r="D110">
        <v>50</v>
      </c>
      <c r="E110">
        <v>50</v>
      </c>
      <c r="F110">
        <v>50</v>
      </c>
      <c r="G110">
        <v>50</v>
      </c>
      <c r="H110">
        <v>50</v>
      </c>
      <c r="I110">
        <v>50</v>
      </c>
      <c r="J110">
        <v>50</v>
      </c>
      <c r="K110">
        <v>50</v>
      </c>
      <c r="L110">
        <v>50</v>
      </c>
      <c r="M110">
        <v>50</v>
      </c>
      <c r="N110">
        <v>50</v>
      </c>
      <c r="O110">
        <v>50</v>
      </c>
      <c r="P110">
        <v>50</v>
      </c>
      <c r="Q110">
        <v>50</v>
      </c>
      <c r="R110">
        <v>50</v>
      </c>
      <c r="S110">
        <v>50</v>
      </c>
      <c r="T110">
        <v>50</v>
      </c>
      <c r="U110">
        <v>50</v>
      </c>
      <c r="V110">
        <v>50</v>
      </c>
      <c r="W110">
        <v>50</v>
      </c>
      <c r="X110">
        <v>50</v>
      </c>
      <c r="Y110">
        <v>50</v>
      </c>
      <c r="Z110">
        <v>50</v>
      </c>
      <c r="AA110">
        <v>50</v>
      </c>
      <c r="AB110">
        <v>50</v>
      </c>
      <c r="AC110">
        <v>50</v>
      </c>
      <c r="AD110">
        <v>50</v>
      </c>
      <c r="AE110">
        <v>50</v>
      </c>
      <c r="AF110">
        <v>50</v>
      </c>
      <c r="AG110">
        <v>50</v>
      </c>
      <c r="AH110">
        <v>50</v>
      </c>
      <c r="AI110">
        <v>50</v>
      </c>
    </row>
    <row r="111" spans="3:36" x14ac:dyDescent="0.25">
      <c r="C111" s="1" t="s">
        <v>51</v>
      </c>
      <c r="D111">
        <v>50</v>
      </c>
      <c r="E111">
        <v>50</v>
      </c>
      <c r="F111">
        <v>50</v>
      </c>
      <c r="G111">
        <v>50</v>
      </c>
      <c r="H111">
        <v>50</v>
      </c>
      <c r="I111">
        <v>50</v>
      </c>
      <c r="J111">
        <v>50</v>
      </c>
      <c r="K111">
        <v>50</v>
      </c>
      <c r="L111">
        <v>50</v>
      </c>
      <c r="M111">
        <v>50</v>
      </c>
      <c r="N111">
        <v>50</v>
      </c>
      <c r="O111">
        <v>50</v>
      </c>
      <c r="P111">
        <v>50</v>
      </c>
      <c r="Q111">
        <v>50</v>
      </c>
      <c r="R111">
        <v>50</v>
      </c>
      <c r="S111">
        <v>50</v>
      </c>
      <c r="T111">
        <v>50</v>
      </c>
      <c r="U111">
        <v>50</v>
      </c>
      <c r="V111">
        <v>50</v>
      </c>
      <c r="W111">
        <v>50</v>
      </c>
      <c r="X111">
        <v>50</v>
      </c>
      <c r="Y111">
        <v>50</v>
      </c>
      <c r="Z111">
        <v>50</v>
      </c>
      <c r="AA111">
        <v>50</v>
      </c>
      <c r="AB111">
        <v>50</v>
      </c>
      <c r="AC111">
        <v>50</v>
      </c>
      <c r="AD111">
        <v>50</v>
      </c>
      <c r="AE111">
        <v>50</v>
      </c>
      <c r="AF111">
        <v>50</v>
      </c>
      <c r="AG111">
        <v>50</v>
      </c>
      <c r="AH111">
        <v>50</v>
      </c>
      <c r="AI111">
        <v>50</v>
      </c>
    </row>
    <row r="113" spans="3:35" x14ac:dyDescent="0.25">
      <c r="C113" s="15" t="s">
        <v>32</v>
      </c>
      <c r="D113">
        <f>VLOOKUP('Dashboard Emissões'!$B$3,'Aux Graficos'!$C$98:$AI$111,'Aux Graficos'!D96,0)</f>
        <v>20</v>
      </c>
      <c r="E113">
        <f>VLOOKUP('Dashboard Emissões'!$B$3,'Aux Graficos'!$C$98:$AI$111,'Aux Graficos'!E96,0)</f>
        <v>20</v>
      </c>
      <c r="F113">
        <f>VLOOKUP('Dashboard Emissões'!$B$3,'Aux Graficos'!$C$98:$AI$111,'Aux Graficos'!F96,0)</f>
        <v>20</v>
      </c>
      <c r="G113">
        <f>VLOOKUP('Dashboard Emissões'!$B$3,'Aux Graficos'!$C$98:$AI$111,'Aux Graficos'!G96,0)</f>
        <v>20</v>
      </c>
      <c r="H113">
        <f>VLOOKUP('Dashboard Emissões'!$B$3,'Aux Graficos'!$C$98:$AI$111,'Aux Graficos'!H96,0)</f>
        <v>20</v>
      </c>
      <c r="I113">
        <f>VLOOKUP('Dashboard Emissões'!$B$3,'Aux Graficos'!$C$98:$AI$111,'Aux Graficos'!I96,0)</f>
        <v>20</v>
      </c>
      <c r="J113">
        <f>VLOOKUP('Dashboard Emissões'!$B$3,'Aux Graficos'!$C$98:$AI$111,'Aux Graficos'!J96,0)</f>
        <v>20</v>
      </c>
      <c r="K113">
        <f>VLOOKUP('Dashboard Emissões'!$B$3,'Aux Graficos'!$C$98:$AI$111,'Aux Graficos'!K96,0)</f>
        <v>20</v>
      </c>
      <c r="L113">
        <f>VLOOKUP('Dashboard Emissões'!$B$3,'Aux Graficos'!$C$98:$AI$111,'Aux Graficos'!L96,0)</f>
        <v>20</v>
      </c>
      <c r="M113">
        <f>VLOOKUP('Dashboard Emissões'!$B$3,'Aux Graficos'!$C$98:$AI$111,'Aux Graficos'!M96,0)</f>
        <v>20</v>
      </c>
      <c r="N113">
        <f>VLOOKUP('Dashboard Emissões'!$B$3,'Aux Graficos'!$C$98:$AI$111,'Aux Graficos'!N96,0)</f>
        <v>20</v>
      </c>
      <c r="O113">
        <f>VLOOKUP('Dashboard Emissões'!$B$3,'Aux Graficos'!$C$98:$AI$111,'Aux Graficos'!O96,0)</f>
        <v>20</v>
      </c>
      <c r="P113">
        <f>VLOOKUP('Dashboard Emissões'!$B$3,'Aux Graficos'!$C$98:$AI$111,'Aux Graficos'!P96,0)</f>
        <v>20</v>
      </c>
      <c r="Q113">
        <f>VLOOKUP('Dashboard Emissões'!$B$3,'Aux Graficos'!$C$98:$AI$111,'Aux Graficos'!Q96,0)</f>
        <v>20</v>
      </c>
      <c r="R113">
        <f>VLOOKUP('Dashboard Emissões'!$B$3,'Aux Graficos'!$C$98:$AI$111,'Aux Graficos'!R96,0)</f>
        <v>20</v>
      </c>
      <c r="S113">
        <f>VLOOKUP('Dashboard Emissões'!$B$3,'Aux Graficos'!$C$98:$AI$111,'Aux Graficos'!S96,0)</f>
        <v>20</v>
      </c>
      <c r="T113">
        <f>VLOOKUP('Dashboard Emissões'!$B$3,'Aux Graficos'!$C$98:$AI$111,'Aux Graficos'!T96,0)</f>
        <v>20</v>
      </c>
      <c r="U113">
        <f>VLOOKUP('Dashboard Emissões'!$B$3,'Aux Graficos'!$C$98:$AI$111,'Aux Graficos'!U96,0)</f>
        <v>20</v>
      </c>
      <c r="V113">
        <f>VLOOKUP('Dashboard Emissões'!$B$3,'Aux Graficos'!$C$98:$AI$111,'Aux Graficos'!V96,0)</f>
        <v>20</v>
      </c>
      <c r="W113">
        <f>VLOOKUP('Dashboard Emissões'!$B$3,'Aux Graficos'!$C$98:$AI$111,'Aux Graficos'!W96,0)</f>
        <v>20</v>
      </c>
      <c r="X113">
        <f>VLOOKUP('Dashboard Emissões'!$B$3,'Aux Graficos'!$C$98:$AI$111,'Aux Graficos'!X96,0)</f>
        <v>20</v>
      </c>
      <c r="Y113">
        <f>VLOOKUP('Dashboard Emissões'!$B$3,'Aux Graficos'!$C$98:$AI$111,'Aux Graficos'!Y96,0)</f>
        <v>20</v>
      </c>
      <c r="Z113">
        <f>VLOOKUP('Dashboard Emissões'!$B$3,'Aux Graficos'!$C$98:$AI$111,'Aux Graficos'!Z96,0)</f>
        <v>20</v>
      </c>
      <c r="AA113">
        <f>VLOOKUP('Dashboard Emissões'!$B$3,'Aux Graficos'!$C$98:$AI$111,'Aux Graficos'!AA96,0)</f>
        <v>20</v>
      </c>
      <c r="AB113">
        <f>VLOOKUP('Dashboard Emissões'!$B$3,'Aux Graficos'!$C$98:$AI$111,'Aux Graficos'!AB96,0)</f>
        <v>20</v>
      </c>
      <c r="AC113">
        <f>VLOOKUP('Dashboard Emissões'!$B$3,'Aux Graficos'!$C$98:$AI$111,'Aux Graficos'!AC96,0)</f>
        <v>20</v>
      </c>
      <c r="AD113">
        <f>VLOOKUP('Dashboard Emissões'!$B$3,'Aux Graficos'!$C$98:$AI$111,'Aux Graficos'!AD96,0)</f>
        <v>20</v>
      </c>
      <c r="AE113">
        <f>VLOOKUP('Dashboard Emissões'!$B$3,'Aux Graficos'!$C$98:$AI$111,'Aux Graficos'!AE96,0)</f>
        <v>20</v>
      </c>
      <c r="AF113">
        <f>VLOOKUP('Dashboard Emissões'!$B$3,'Aux Graficos'!$C$98:$AI$111,'Aux Graficos'!AF96,0)</f>
        <v>20</v>
      </c>
      <c r="AG113">
        <f>VLOOKUP('Dashboard Emissões'!$B$3,'Aux Graficos'!$C$98:$AI$111,'Aux Graficos'!AG96,0)</f>
        <v>20</v>
      </c>
      <c r="AH113">
        <f>VLOOKUP('Dashboard Emissões'!$B$3,'Aux Graficos'!$C$98:$AI$111,'Aux Graficos'!AH96,0)</f>
        <v>20</v>
      </c>
      <c r="AI113">
        <f>VLOOKUP('Dashboard Emissões'!$B$3,'Aux Graficos'!$C$98:$AI$111,'Aux Graficos'!AI96,0)</f>
        <v>20</v>
      </c>
    </row>
    <row r="116" spans="3:35" ht="18.75" x14ac:dyDescent="0.25">
      <c r="E116" s="58" t="s">
        <v>31</v>
      </c>
      <c r="F116" s="59"/>
      <c r="G116" s="59"/>
      <c r="H116" s="59"/>
      <c r="I116" s="59"/>
      <c r="J116" s="59"/>
    </row>
    <row r="117" spans="3:35" x14ac:dyDescent="0.25">
      <c r="C117">
        <v>1</v>
      </c>
      <c r="D117">
        <v>2</v>
      </c>
      <c r="E117">
        <f>D117+1</f>
        <v>3</v>
      </c>
      <c r="F117">
        <f t="shared" ref="F117:O117" si="7">E117+1</f>
        <v>4</v>
      </c>
      <c r="G117">
        <f t="shared" si="7"/>
        <v>5</v>
      </c>
      <c r="H117">
        <f t="shared" si="7"/>
        <v>6</v>
      </c>
      <c r="I117">
        <f t="shared" si="7"/>
        <v>7</v>
      </c>
      <c r="J117">
        <f t="shared" si="7"/>
        <v>8</v>
      </c>
      <c r="K117">
        <f t="shared" si="7"/>
        <v>9</v>
      </c>
      <c r="L117">
        <f t="shared" si="7"/>
        <v>10</v>
      </c>
      <c r="M117">
        <f t="shared" si="7"/>
        <v>11</v>
      </c>
      <c r="N117">
        <f t="shared" si="7"/>
        <v>12</v>
      </c>
      <c r="O117">
        <f t="shared" si="7"/>
        <v>13</v>
      </c>
    </row>
    <row r="118" spans="3:35" x14ac:dyDescent="0.25">
      <c r="D118" s="12">
        <f t="shared" ref="D118:O118" si="8">D51</f>
        <v>44197</v>
      </c>
      <c r="E118" s="12">
        <f t="shared" si="8"/>
        <v>44228</v>
      </c>
      <c r="F118" s="12">
        <f t="shared" si="8"/>
        <v>44256</v>
      </c>
      <c r="G118" s="12">
        <f t="shared" si="8"/>
        <v>44287</v>
      </c>
      <c r="H118" s="12">
        <f t="shared" si="8"/>
        <v>44317</v>
      </c>
      <c r="I118" s="12">
        <f t="shared" si="8"/>
        <v>44197</v>
      </c>
      <c r="J118" s="12">
        <f t="shared" si="8"/>
        <v>44197</v>
      </c>
      <c r="K118" s="12">
        <f t="shared" si="8"/>
        <v>44197</v>
      </c>
      <c r="L118" s="12">
        <f t="shared" si="8"/>
        <v>44197</v>
      </c>
      <c r="M118" s="12">
        <f t="shared" si="8"/>
        <v>44197</v>
      </c>
      <c r="N118" s="12">
        <f t="shared" si="8"/>
        <v>44197</v>
      </c>
      <c r="O118" s="12">
        <f t="shared" si="8"/>
        <v>44197</v>
      </c>
    </row>
    <row r="119" spans="3:35" x14ac:dyDescent="0.25">
      <c r="C119" s="1" t="s">
        <v>38</v>
      </c>
      <c r="D119">
        <v>50</v>
      </c>
      <c r="E119">
        <v>50</v>
      </c>
      <c r="F119">
        <v>50</v>
      </c>
      <c r="G119">
        <v>50</v>
      </c>
      <c r="H119">
        <v>50</v>
      </c>
      <c r="I119">
        <v>50</v>
      </c>
      <c r="J119">
        <v>50</v>
      </c>
      <c r="K119">
        <v>50</v>
      </c>
      <c r="L119">
        <v>50</v>
      </c>
      <c r="M119">
        <v>50</v>
      </c>
      <c r="N119">
        <v>50</v>
      </c>
      <c r="O119">
        <v>50</v>
      </c>
    </row>
    <row r="120" spans="3:35" x14ac:dyDescent="0.25">
      <c r="C120" s="1" t="s">
        <v>39</v>
      </c>
      <c r="D120">
        <v>800</v>
      </c>
      <c r="E120">
        <v>800</v>
      </c>
      <c r="F120">
        <v>800</v>
      </c>
      <c r="G120">
        <v>800</v>
      </c>
      <c r="H120">
        <v>800</v>
      </c>
      <c r="I120">
        <v>800</v>
      </c>
      <c r="J120">
        <v>800</v>
      </c>
      <c r="K120">
        <v>800</v>
      </c>
      <c r="L120">
        <v>800</v>
      </c>
      <c r="M120">
        <v>800</v>
      </c>
      <c r="N120">
        <v>800</v>
      </c>
      <c r="O120">
        <v>800</v>
      </c>
    </row>
    <row r="121" spans="3:35" x14ac:dyDescent="0.25">
      <c r="C121" s="1" t="s">
        <v>40</v>
      </c>
      <c r="D121">
        <v>1320</v>
      </c>
      <c r="E121">
        <v>1320</v>
      </c>
      <c r="F121">
        <v>1320</v>
      </c>
      <c r="G121">
        <v>1320</v>
      </c>
      <c r="H121">
        <v>1320</v>
      </c>
      <c r="I121">
        <v>1320</v>
      </c>
      <c r="J121">
        <v>1320</v>
      </c>
      <c r="K121">
        <v>1320</v>
      </c>
      <c r="L121">
        <v>1320</v>
      </c>
      <c r="M121">
        <v>1320</v>
      </c>
      <c r="N121">
        <v>1320</v>
      </c>
      <c r="O121">
        <v>1320</v>
      </c>
    </row>
    <row r="122" spans="3:35" x14ac:dyDescent="0.25">
      <c r="C122" s="1"/>
    </row>
    <row r="123" spans="3:35" x14ac:dyDescent="0.25">
      <c r="C123" s="1" t="s">
        <v>42</v>
      </c>
      <c r="D123">
        <v>20</v>
      </c>
      <c r="E123">
        <v>20</v>
      </c>
      <c r="F123">
        <v>20</v>
      </c>
      <c r="G123">
        <v>20</v>
      </c>
      <c r="H123">
        <v>20</v>
      </c>
      <c r="I123">
        <v>20</v>
      </c>
      <c r="J123">
        <v>20</v>
      </c>
      <c r="K123">
        <v>20</v>
      </c>
      <c r="L123">
        <v>20</v>
      </c>
      <c r="M123">
        <v>20</v>
      </c>
      <c r="N123">
        <v>20</v>
      </c>
      <c r="O123">
        <v>20</v>
      </c>
    </row>
    <row r="124" spans="3:35" x14ac:dyDescent="0.25">
      <c r="C124" s="1"/>
    </row>
    <row r="125" spans="3:35" x14ac:dyDescent="0.25">
      <c r="C125" s="1" t="s">
        <v>44</v>
      </c>
      <c r="D125">
        <v>50</v>
      </c>
      <c r="E125">
        <v>50</v>
      </c>
      <c r="F125">
        <v>50</v>
      </c>
      <c r="G125">
        <v>50</v>
      </c>
      <c r="H125">
        <v>50</v>
      </c>
      <c r="I125">
        <v>50</v>
      </c>
      <c r="J125">
        <v>50</v>
      </c>
      <c r="K125">
        <v>50</v>
      </c>
      <c r="L125">
        <v>50</v>
      </c>
      <c r="M125">
        <v>50</v>
      </c>
      <c r="N125">
        <v>50</v>
      </c>
      <c r="O125">
        <v>50</v>
      </c>
    </row>
    <row r="126" spans="3:35" x14ac:dyDescent="0.25">
      <c r="C126" s="1" t="s">
        <v>45</v>
      </c>
      <c r="D126">
        <v>800</v>
      </c>
      <c r="E126">
        <v>800</v>
      </c>
      <c r="F126">
        <v>800</v>
      </c>
      <c r="G126">
        <v>800</v>
      </c>
      <c r="H126">
        <v>800</v>
      </c>
      <c r="I126">
        <v>800</v>
      </c>
      <c r="J126">
        <v>800</v>
      </c>
      <c r="K126">
        <v>800</v>
      </c>
      <c r="L126">
        <v>800</v>
      </c>
      <c r="M126">
        <v>800</v>
      </c>
      <c r="N126">
        <v>800</v>
      </c>
      <c r="O126">
        <v>800</v>
      </c>
    </row>
    <row r="127" spans="3:35" x14ac:dyDescent="0.25">
      <c r="C127" s="1" t="s">
        <v>46</v>
      </c>
      <c r="D127">
        <v>1320</v>
      </c>
      <c r="E127">
        <v>1320</v>
      </c>
      <c r="F127">
        <v>1320</v>
      </c>
      <c r="G127">
        <v>1320</v>
      </c>
      <c r="H127">
        <v>1320</v>
      </c>
      <c r="I127">
        <v>1320</v>
      </c>
      <c r="J127">
        <v>1320</v>
      </c>
      <c r="K127">
        <v>1320</v>
      </c>
      <c r="L127">
        <v>1320</v>
      </c>
      <c r="M127">
        <v>1320</v>
      </c>
      <c r="N127">
        <v>1320</v>
      </c>
      <c r="O127">
        <v>1320</v>
      </c>
    </row>
    <row r="128" spans="3:35" x14ac:dyDescent="0.25">
      <c r="C128" s="1"/>
    </row>
    <row r="129" spans="2:15" x14ac:dyDescent="0.25">
      <c r="C129" s="1" t="s">
        <v>48</v>
      </c>
      <c r="D129">
        <v>20</v>
      </c>
      <c r="E129">
        <v>20</v>
      </c>
      <c r="F129">
        <v>20</v>
      </c>
      <c r="G129">
        <v>20</v>
      </c>
      <c r="H129">
        <v>20</v>
      </c>
      <c r="I129">
        <v>20</v>
      </c>
      <c r="J129">
        <v>20</v>
      </c>
      <c r="K129">
        <v>20</v>
      </c>
      <c r="L129">
        <v>20</v>
      </c>
      <c r="M129">
        <v>20</v>
      </c>
      <c r="N129">
        <v>20</v>
      </c>
      <c r="O129">
        <v>20</v>
      </c>
    </row>
    <row r="130" spans="2:15" x14ac:dyDescent="0.25">
      <c r="C130" s="1"/>
    </row>
    <row r="131" spans="2:15" x14ac:dyDescent="0.25">
      <c r="C131" s="1" t="s">
        <v>50</v>
      </c>
      <c r="D131">
        <v>50</v>
      </c>
      <c r="E131">
        <v>50</v>
      </c>
      <c r="F131">
        <v>50</v>
      </c>
      <c r="G131">
        <v>50</v>
      </c>
      <c r="H131">
        <v>50</v>
      </c>
      <c r="I131">
        <v>50</v>
      </c>
      <c r="J131">
        <v>50</v>
      </c>
      <c r="K131">
        <v>50</v>
      </c>
      <c r="L131">
        <v>50</v>
      </c>
      <c r="M131">
        <v>50</v>
      </c>
      <c r="N131">
        <v>50</v>
      </c>
      <c r="O131">
        <v>50</v>
      </c>
    </row>
    <row r="132" spans="2:15" x14ac:dyDescent="0.25">
      <c r="C132" s="1" t="s">
        <v>51</v>
      </c>
      <c r="D132">
        <v>50</v>
      </c>
      <c r="E132">
        <v>50</v>
      </c>
      <c r="F132">
        <v>50</v>
      </c>
      <c r="G132">
        <v>50</v>
      </c>
      <c r="H132">
        <v>50</v>
      </c>
      <c r="I132">
        <v>50</v>
      </c>
      <c r="J132">
        <v>50</v>
      </c>
      <c r="K132">
        <v>50</v>
      </c>
      <c r="L132">
        <v>50</v>
      </c>
      <c r="M132">
        <v>50</v>
      </c>
      <c r="N132">
        <v>50</v>
      </c>
      <c r="O132">
        <v>50</v>
      </c>
    </row>
    <row r="134" spans="2:15" x14ac:dyDescent="0.25">
      <c r="C134" s="15" t="s">
        <v>32</v>
      </c>
      <c r="D134">
        <f>VLOOKUP('Dashboard Emissões'!$B$3,'Aux Graficos'!$C$119:$O$132,'Aux Graficos'!D117,0)</f>
        <v>20</v>
      </c>
      <c r="E134">
        <f>VLOOKUP('Dashboard Emissões'!$B$3,'Aux Graficos'!$C$119:$O$132,'Aux Graficos'!E117,0)</f>
        <v>20</v>
      </c>
      <c r="F134">
        <f>VLOOKUP('Dashboard Emissões'!$B$3,'Aux Graficos'!$C$119:$O$132,'Aux Graficos'!F117,0)</f>
        <v>20</v>
      </c>
      <c r="G134">
        <f>VLOOKUP('Dashboard Emissões'!$B$3,'Aux Graficos'!$C$119:$O$132,'Aux Graficos'!G117,0)</f>
        <v>20</v>
      </c>
      <c r="H134">
        <f>VLOOKUP('Dashboard Emissões'!$B$3,'Aux Graficos'!$C$119:$O$132,'Aux Graficos'!H117,0)</f>
        <v>20</v>
      </c>
      <c r="I134">
        <f>VLOOKUP('Dashboard Emissões'!$B$3,'Aux Graficos'!$C$119:$O$132,'Aux Graficos'!I117,0)</f>
        <v>20</v>
      </c>
      <c r="J134">
        <f>VLOOKUP('Dashboard Emissões'!$B$3,'Aux Graficos'!$C$119:$O$132,'Aux Graficos'!J117,0)</f>
        <v>20</v>
      </c>
      <c r="K134">
        <f>VLOOKUP('Dashboard Emissões'!$B$3,'Aux Graficos'!$C$119:$O$132,'Aux Graficos'!K117,0)</f>
        <v>20</v>
      </c>
      <c r="L134">
        <f>VLOOKUP('Dashboard Emissões'!$B$3,'Aux Graficos'!$C$119:$O$132,'Aux Graficos'!L117,0)</f>
        <v>20</v>
      </c>
      <c r="M134">
        <f>VLOOKUP('Dashboard Emissões'!$B$3,'Aux Graficos'!$C$119:$O$132,'Aux Graficos'!M117,0)</f>
        <v>20</v>
      </c>
      <c r="N134">
        <f>VLOOKUP('Dashboard Emissões'!$B$3,'Aux Graficos'!$C$119:$O$132,'Aux Graficos'!N117,0)</f>
        <v>20</v>
      </c>
      <c r="O134">
        <f>VLOOKUP('Dashboard Emissões'!$B$3,'Aux Graficos'!$C$119:$O$132,'Aux Graficos'!O117,0)</f>
        <v>20</v>
      </c>
    </row>
    <row r="137" spans="2:15" x14ac:dyDescent="0.25">
      <c r="B137" s="60" t="s">
        <v>33</v>
      </c>
      <c r="C137" s="60"/>
      <c r="D137" t="str">
        <f>"Emissão Horária - " &amp; TEXT(D7,"DD/MM")</f>
        <v>Emissão Horária - 17/06</v>
      </c>
    </row>
    <row r="138" spans="2:15" x14ac:dyDescent="0.25">
      <c r="B138" s="60" t="s">
        <v>34</v>
      </c>
      <c r="C138" s="60"/>
      <c r="D138" t="str">
        <f>"Emissão Diária - " &amp;  UPPER(TEXT(D29,"MMMM"))</f>
        <v>Emissão Diária - JUNHO</v>
      </c>
    </row>
    <row r="139" spans="2:15" x14ac:dyDescent="0.25">
      <c r="B139" s="60" t="s">
        <v>35</v>
      </c>
      <c r="C139" s="60"/>
      <c r="D139" t="str">
        <f xml:space="preserve"> "Emissão Mensal - " &amp; YEAR(D118)</f>
        <v>Emissão Mensal - 2021</v>
      </c>
    </row>
    <row r="141" spans="2:15" x14ac:dyDescent="0.25">
      <c r="C141" t="s">
        <v>65</v>
      </c>
      <c r="D141" t="str">
        <f>"%SO3 W2 - " &amp;  UPPER(TEXT(D29,"MMMM"))</f>
        <v>%SO3 W2 - JUNHO</v>
      </c>
    </row>
    <row r="142" spans="2:15" x14ac:dyDescent="0.25">
      <c r="C142" t="s">
        <v>66</v>
      </c>
      <c r="D142" t="str">
        <f>"%SO3 W3 - " &amp;  UPPER(TEXT(D29,"MMMM"))</f>
        <v>%SO3 W3 - JUNHO</v>
      </c>
    </row>
  </sheetData>
  <mergeCells count="9">
    <mergeCell ref="E116:J116"/>
    <mergeCell ref="B137:C137"/>
    <mergeCell ref="B138:C138"/>
    <mergeCell ref="B139:C139"/>
    <mergeCell ref="E4:J4"/>
    <mergeCell ref="E26:J26"/>
    <mergeCell ref="E73:J73"/>
    <mergeCell ref="E49:J49"/>
    <mergeCell ref="E95:J95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S35"/>
  <sheetViews>
    <sheetView showGridLines="0" tabSelected="1" zoomScale="82" zoomScaleNormal="82" workbookViewId="0">
      <selection activeCell="K5" sqref="K5"/>
    </sheetView>
  </sheetViews>
  <sheetFormatPr defaultColWidth="9.140625" defaultRowHeight="15" x14ac:dyDescent="0.25"/>
  <cols>
    <col min="1" max="1" width="3.28515625" style="16" customWidth="1"/>
    <col min="2" max="2" width="9.42578125" style="16" customWidth="1"/>
    <col min="3" max="3" width="12.42578125" style="16" customWidth="1"/>
    <col min="4" max="4" width="7.28515625" style="16" bestFit="1" customWidth="1"/>
    <col min="5" max="5" width="18.7109375" style="16" customWidth="1"/>
    <col min="6" max="6" width="18" style="16" customWidth="1"/>
    <col min="7" max="7" width="16" style="16" customWidth="1"/>
    <col min="8" max="8" width="18.7109375" style="16" bestFit="1" customWidth="1"/>
    <col min="9" max="9" width="18.7109375" style="16" customWidth="1"/>
    <col min="10" max="16384" width="9.140625" style="16"/>
  </cols>
  <sheetData>
    <row r="1" spans="1:19" ht="54" customHeight="1" x14ac:dyDescent="0.25">
      <c r="B1" s="68" t="str">
        <f>"Flash de Emissões - " &amp; TEXT('Base Média Dia'!D12,"DD/MM/AA")</f>
        <v>Flash de Emissões - 17/06/21</v>
      </c>
      <c r="C1" s="69"/>
      <c r="D1" s="69"/>
      <c r="E1" s="69"/>
      <c r="F1" s="69"/>
      <c r="G1" s="69"/>
      <c r="H1" s="69"/>
      <c r="I1" s="69"/>
    </row>
    <row r="2" spans="1:19" ht="15.75" customHeight="1" x14ac:dyDescent="0.3">
      <c r="A2" s="30"/>
      <c r="B2" s="70" t="s">
        <v>78</v>
      </c>
      <c r="C2" s="71"/>
      <c r="D2" s="71"/>
      <c r="E2" s="71"/>
      <c r="F2" s="71"/>
      <c r="G2" s="71"/>
      <c r="H2" s="71"/>
      <c r="I2" s="72"/>
    </row>
    <row r="3" spans="1:19" ht="15.75" customHeight="1" x14ac:dyDescent="0.25">
      <c r="B3" s="70"/>
      <c r="C3" s="71"/>
      <c r="D3" s="71"/>
      <c r="E3" s="71"/>
      <c r="F3" s="71"/>
      <c r="G3" s="71"/>
      <c r="H3" s="71"/>
      <c r="I3" s="72"/>
      <c r="S3" s="34"/>
    </row>
    <row r="4" spans="1:19" ht="9.75" customHeight="1" x14ac:dyDescent="0.25">
      <c r="B4" s="70"/>
      <c r="C4" s="71"/>
      <c r="D4" s="71"/>
      <c r="E4" s="71"/>
      <c r="F4" s="71"/>
      <c r="G4" s="71"/>
      <c r="H4" s="71"/>
      <c r="I4" s="72"/>
      <c r="S4" s="33"/>
    </row>
    <row r="5" spans="1:19" ht="213.75" customHeight="1" thickBot="1" x14ac:dyDescent="0.3">
      <c r="B5" s="73"/>
      <c r="C5" s="74"/>
      <c r="D5" s="74"/>
      <c r="E5" s="74"/>
      <c r="F5" s="74"/>
      <c r="G5" s="74"/>
      <c r="H5" s="74"/>
      <c r="I5" s="75"/>
    </row>
    <row r="6" spans="1:19" x14ac:dyDescent="0.25">
      <c r="E6" s="17"/>
      <c r="F6" s="17"/>
      <c r="G6" s="18"/>
      <c r="H6" s="18"/>
      <c r="I6" s="18"/>
    </row>
    <row r="7" spans="1:19" ht="27" customHeight="1" thickBot="1" x14ac:dyDescent="0.35">
      <c r="B7" s="81" t="s">
        <v>19</v>
      </c>
      <c r="C7" s="78" t="s">
        <v>20</v>
      </c>
      <c r="D7" s="64" t="s">
        <v>37</v>
      </c>
      <c r="E7" s="65"/>
      <c r="F7" s="65"/>
      <c r="G7" s="65"/>
      <c r="H7" s="65"/>
      <c r="I7" s="65"/>
      <c r="K7" s="32"/>
    </row>
    <row r="8" spans="1:19" ht="15.75" customHeight="1" thickBot="1" x14ac:dyDescent="0.3">
      <c r="B8" s="82"/>
      <c r="C8" s="79"/>
      <c r="D8" s="90" t="s">
        <v>21</v>
      </c>
      <c r="E8" s="86" t="str">
        <f xml:space="preserve"> "Dia - " &amp; TEXT('Base Média Dia'!D12,"dd/mm")</f>
        <v>Dia - 17/06</v>
      </c>
      <c r="F8" s="88" t="str">
        <f>F14</f>
        <v>jun-21</v>
      </c>
      <c r="G8" s="62" t="s">
        <v>73</v>
      </c>
      <c r="H8" s="90">
        <v>2021</v>
      </c>
      <c r="I8" s="62" t="s">
        <v>74</v>
      </c>
    </row>
    <row r="9" spans="1:19" x14ac:dyDescent="0.25">
      <c r="B9" s="83"/>
      <c r="C9" s="80"/>
      <c r="D9" s="91"/>
      <c r="E9" s="87"/>
      <c r="F9" s="89"/>
      <c r="G9" s="63"/>
      <c r="H9" s="91"/>
      <c r="I9" s="63"/>
    </row>
    <row r="10" spans="1:19" ht="18.75" x14ac:dyDescent="0.25">
      <c r="B10" s="76"/>
      <c r="C10" s="21" t="s">
        <v>76</v>
      </c>
      <c r="D10" s="84">
        <v>50</v>
      </c>
      <c r="E10" s="37">
        <f>'Base de Dados'!E6</f>
        <v>0</v>
      </c>
      <c r="F10" s="37">
        <f>'Base de Dados'!E17</f>
        <v>0</v>
      </c>
      <c r="G10" s="24">
        <f>'Base de Dados'!E22</f>
        <v>0</v>
      </c>
      <c r="H10" s="37">
        <f>'Base de Dados'!E29</f>
        <v>0</v>
      </c>
      <c r="I10" s="24">
        <f>'Base de Dados'!E41</f>
        <v>0</v>
      </c>
    </row>
    <row r="11" spans="1:19" ht="18.75" x14ac:dyDescent="0.25">
      <c r="B11" s="77"/>
      <c r="C11" s="22" t="s">
        <v>77</v>
      </c>
      <c r="D11" s="85"/>
      <c r="E11" s="38">
        <f>'Base de Dados'!K6</f>
        <v>0</v>
      </c>
      <c r="F11" s="38">
        <f>'Base de Dados'!K17</f>
        <v>0</v>
      </c>
      <c r="G11" s="23">
        <f>'Base de Dados'!K22</f>
        <v>0</v>
      </c>
      <c r="H11" s="38">
        <f>'Base de Dados'!K29</f>
        <v>0</v>
      </c>
      <c r="I11" s="23">
        <f>'Base de Dados'!K41</f>
        <v>0</v>
      </c>
    </row>
    <row r="12" spans="1:19" ht="8.25" customHeight="1" x14ac:dyDescent="0.25">
      <c r="F12" s="19"/>
      <c r="G12" s="19"/>
      <c r="H12" s="19"/>
      <c r="I12" s="19"/>
    </row>
    <row r="13" spans="1:19" ht="27" customHeight="1" thickBot="1" x14ac:dyDescent="0.3">
      <c r="B13" s="81" t="s">
        <v>19</v>
      </c>
      <c r="C13" s="78" t="s">
        <v>20</v>
      </c>
      <c r="D13" s="66" t="s">
        <v>54</v>
      </c>
      <c r="E13" s="67"/>
      <c r="F13" s="67"/>
      <c r="G13" s="67"/>
      <c r="H13" s="67"/>
      <c r="I13" s="67"/>
    </row>
    <row r="14" spans="1:19" ht="15" customHeight="1" thickBot="1" x14ac:dyDescent="0.3">
      <c r="B14" s="82"/>
      <c r="C14" s="79"/>
      <c r="D14" s="90" t="s">
        <v>21</v>
      </c>
      <c r="E14" s="86" t="str">
        <f>E8</f>
        <v>Dia - 17/06</v>
      </c>
      <c r="F14" s="88" t="str">
        <f>TEXT('Base Média Dia'!D12,"mmm") &amp; "-21"</f>
        <v>jun-21</v>
      </c>
      <c r="G14" s="62" t="str">
        <f>G8</f>
        <v>Conformidade Legal Mensal</v>
      </c>
      <c r="H14" s="90">
        <v>2021</v>
      </c>
      <c r="I14" s="62" t="str">
        <f>I8</f>
        <v>Conformidade Legal Anual</v>
      </c>
    </row>
    <row r="15" spans="1:19" x14ac:dyDescent="0.25">
      <c r="B15" s="83"/>
      <c r="C15" s="80"/>
      <c r="D15" s="94"/>
      <c r="E15" s="87"/>
      <c r="F15" s="97"/>
      <c r="G15" s="63"/>
      <c r="H15" s="94"/>
      <c r="I15" s="63"/>
    </row>
    <row r="16" spans="1:19" ht="18.75" x14ac:dyDescent="0.25">
      <c r="B16" s="76"/>
      <c r="C16" s="21" t="s">
        <v>76</v>
      </c>
      <c r="D16" s="84">
        <v>800</v>
      </c>
      <c r="E16" s="37">
        <f>'Base de Dados'!F6</f>
        <v>0</v>
      </c>
      <c r="F16" s="37">
        <f>'Base de Dados'!F17</f>
        <v>0</v>
      </c>
      <c r="G16" s="24">
        <f>'Base de Dados'!F22</f>
        <v>0</v>
      </c>
      <c r="H16" s="37">
        <f>'Base de Dados'!F29</f>
        <v>0</v>
      </c>
      <c r="I16" s="24">
        <f>'Base de Dados'!F41</f>
        <v>0</v>
      </c>
    </row>
    <row r="17" spans="2:11" ht="19.5" customHeight="1" x14ac:dyDescent="0.25">
      <c r="B17" s="77"/>
      <c r="C17" s="22" t="s">
        <v>77</v>
      </c>
      <c r="D17" s="85"/>
      <c r="E17" s="38">
        <f>'Base de Dados'!L6</f>
        <v>0</v>
      </c>
      <c r="F17" s="38">
        <f>'Base de Dados'!L17</f>
        <v>0</v>
      </c>
      <c r="G17" s="23">
        <f>'Base de Dados'!L22</f>
        <v>0</v>
      </c>
      <c r="H17" s="38">
        <f>'Base de Dados'!L29</f>
        <v>0</v>
      </c>
      <c r="I17" s="23">
        <f>'Base de Dados'!L41</f>
        <v>0</v>
      </c>
    </row>
    <row r="18" spans="2:11" ht="8.25" customHeight="1" x14ac:dyDescent="0.25">
      <c r="B18" s="39"/>
      <c r="C18" s="39"/>
      <c r="D18" s="40"/>
      <c r="E18" s="41"/>
      <c r="F18" s="41"/>
      <c r="G18" s="42"/>
      <c r="H18" s="41"/>
      <c r="I18" s="41"/>
    </row>
    <row r="19" spans="2:11" ht="27" customHeight="1" thickBot="1" x14ac:dyDescent="0.3">
      <c r="B19" s="81" t="s">
        <v>19</v>
      </c>
      <c r="C19" s="78" t="s">
        <v>20</v>
      </c>
      <c r="D19" s="95" t="s">
        <v>56</v>
      </c>
      <c r="E19" s="96"/>
      <c r="F19" s="96"/>
      <c r="G19" s="96"/>
      <c r="H19" s="96"/>
    </row>
    <row r="20" spans="2:11" ht="15" customHeight="1" thickBot="1" x14ac:dyDescent="0.35">
      <c r="B20" s="82"/>
      <c r="C20" s="79"/>
      <c r="D20" s="90" t="s">
        <v>21</v>
      </c>
      <c r="E20" s="86" t="str">
        <f>E8</f>
        <v>Dia - 17/06</v>
      </c>
      <c r="F20" s="88" t="str">
        <f>F14</f>
        <v>jun-21</v>
      </c>
      <c r="G20" s="62" t="s">
        <v>68</v>
      </c>
      <c r="H20" s="92">
        <v>2021</v>
      </c>
      <c r="I20" s="32"/>
      <c r="K20" s="32"/>
    </row>
    <row r="21" spans="2:11" ht="30.75" customHeight="1" x14ac:dyDescent="0.25">
      <c r="B21" s="98"/>
      <c r="C21" s="80"/>
      <c r="D21" s="94"/>
      <c r="E21" s="87"/>
      <c r="F21" s="97"/>
      <c r="G21" s="63"/>
      <c r="H21" s="93"/>
    </row>
    <row r="22" spans="2:11" ht="18.75" x14ac:dyDescent="0.25">
      <c r="B22" s="76"/>
      <c r="C22" s="21" t="s">
        <v>76</v>
      </c>
      <c r="D22" s="84">
        <v>1320</v>
      </c>
      <c r="E22" s="37">
        <f>'Base de Dados'!G6</f>
        <v>0</v>
      </c>
      <c r="F22" s="37">
        <f>'Base de Dados'!G17</f>
        <v>0</v>
      </c>
      <c r="G22" s="50" t="str">
        <f ca="1">IFERROR('SO3'!C5,"")</f>
        <v/>
      </c>
      <c r="H22" s="37">
        <f>'Base de Dados'!G29</f>
        <v>0</v>
      </c>
      <c r="I22" s="41"/>
    </row>
    <row r="23" spans="2:11" ht="19.5" customHeight="1" x14ac:dyDescent="0.25">
      <c r="B23" s="77"/>
      <c r="C23" s="22" t="s">
        <v>77</v>
      </c>
      <c r="D23" s="85"/>
      <c r="E23" s="38">
        <f>'Base de Dados'!M6</f>
        <v>0</v>
      </c>
      <c r="F23" s="38">
        <f>'Base de Dados'!M17</f>
        <v>0</v>
      </c>
      <c r="G23" s="49" t="str">
        <f ca="1">IFERROR('SO3'!I5,"")</f>
        <v/>
      </c>
      <c r="H23" s="38">
        <f>'Base de Dados'!M29</f>
        <v>0</v>
      </c>
      <c r="I23" s="41"/>
    </row>
    <row r="24" spans="2:11" ht="8.25" customHeight="1" x14ac:dyDescent="0.25">
      <c r="B24" s="18"/>
      <c r="D24" s="18"/>
      <c r="E24" s="18"/>
      <c r="F24" s="18"/>
      <c r="G24" s="18"/>
      <c r="H24" s="18"/>
      <c r="I24" s="18"/>
    </row>
    <row r="25" spans="2:11" ht="27" customHeight="1" thickBot="1" x14ac:dyDescent="0.3">
      <c r="B25" s="81" t="s">
        <v>19</v>
      </c>
      <c r="C25" s="78" t="s">
        <v>20</v>
      </c>
      <c r="D25" s="99" t="s">
        <v>22</v>
      </c>
      <c r="E25" s="100"/>
      <c r="F25" s="99" t="s">
        <v>23</v>
      </c>
      <c r="G25" s="100"/>
      <c r="H25" s="28" t="s">
        <v>24</v>
      </c>
    </row>
    <row r="26" spans="2:11" x14ac:dyDescent="0.25">
      <c r="B26" s="98"/>
      <c r="C26" s="80"/>
      <c r="D26" s="27" t="s">
        <v>53</v>
      </c>
      <c r="E26" s="29" t="str">
        <f>E8</f>
        <v>Dia - 17/06</v>
      </c>
      <c r="F26" s="25" t="s">
        <v>53</v>
      </c>
      <c r="G26" s="26" t="str">
        <f>E8</f>
        <v>Dia - 17/06</v>
      </c>
      <c r="H26" s="20" t="str">
        <f>E8</f>
        <v>Dia - 17/06</v>
      </c>
    </row>
    <row r="27" spans="2:11" ht="18" customHeight="1" x14ac:dyDescent="0.25">
      <c r="B27" s="76"/>
      <c r="C27" s="21" t="s">
        <v>76</v>
      </c>
      <c r="D27" s="84" t="s">
        <v>8</v>
      </c>
      <c r="E27" s="37">
        <f>'Base de Dados'!H6</f>
        <v>0</v>
      </c>
      <c r="F27" s="84">
        <v>20</v>
      </c>
      <c r="G27" s="37">
        <f>'Base de Dados'!I6</f>
        <v>0</v>
      </c>
      <c r="H27" s="37">
        <f>'Base de Dados'!J6</f>
        <v>0</v>
      </c>
      <c r="I27" s="41"/>
    </row>
    <row r="28" spans="2:11" ht="18.75" x14ac:dyDescent="0.25">
      <c r="B28" s="77"/>
      <c r="C28" s="22" t="s">
        <v>77</v>
      </c>
      <c r="D28" s="85"/>
      <c r="E28" s="38">
        <f>'Base de Dados'!N6</f>
        <v>0</v>
      </c>
      <c r="F28" s="85"/>
      <c r="G28" s="38">
        <f>'Base de Dados'!O6</f>
        <v>0</v>
      </c>
      <c r="H28" s="38">
        <f>'Base de Dados'!P6</f>
        <v>0</v>
      </c>
      <c r="I28" s="41"/>
    </row>
    <row r="31" spans="2:11" ht="15.75" customHeight="1" x14ac:dyDescent="0.25">
      <c r="B31" s="43"/>
    </row>
    <row r="33" spans="2:2" x14ac:dyDescent="0.25">
      <c r="B33" s="31" t="s">
        <v>52</v>
      </c>
    </row>
    <row r="35" spans="2:2" x14ac:dyDescent="0.25">
      <c r="B35" s="44" t="s">
        <v>55</v>
      </c>
    </row>
  </sheetData>
  <sheetProtection selectLockedCells="1"/>
  <mergeCells count="41">
    <mergeCell ref="D8:D9"/>
    <mergeCell ref="B27:B28"/>
    <mergeCell ref="D27:D28"/>
    <mergeCell ref="F27:F28"/>
    <mergeCell ref="B16:B17"/>
    <mergeCell ref="D16:D17"/>
    <mergeCell ref="B22:B23"/>
    <mergeCell ref="D22:D23"/>
    <mergeCell ref="B25:B26"/>
    <mergeCell ref="C25:C26"/>
    <mergeCell ref="B19:B21"/>
    <mergeCell ref="C19:C21"/>
    <mergeCell ref="F25:G25"/>
    <mergeCell ref="D25:E25"/>
    <mergeCell ref="H20:H21"/>
    <mergeCell ref="G20:G21"/>
    <mergeCell ref="D14:D15"/>
    <mergeCell ref="D20:D21"/>
    <mergeCell ref="D19:H19"/>
    <mergeCell ref="F14:F15"/>
    <mergeCell ref="F20:F21"/>
    <mergeCell ref="E20:E21"/>
    <mergeCell ref="E14:E15"/>
    <mergeCell ref="G14:G15"/>
    <mergeCell ref="H14:H15"/>
    <mergeCell ref="I8:I9"/>
    <mergeCell ref="D7:I7"/>
    <mergeCell ref="D13:I13"/>
    <mergeCell ref="I14:I15"/>
    <mergeCell ref="B1:I1"/>
    <mergeCell ref="B2:I5"/>
    <mergeCell ref="B10:B11"/>
    <mergeCell ref="C13:C15"/>
    <mergeCell ref="B13:B15"/>
    <mergeCell ref="D10:D11"/>
    <mergeCell ref="B7:B9"/>
    <mergeCell ref="C7:C9"/>
    <mergeCell ref="E8:E9"/>
    <mergeCell ref="F8:F9"/>
    <mergeCell ref="G8:G9"/>
    <mergeCell ref="H8:H9"/>
  </mergeCells>
  <conditionalFormatting sqref="G10:G11">
    <cfRule type="colorScale" priority="55">
      <colorScale>
        <cfvo type="num" val="0"/>
        <cfvo type="num" val="1"/>
        <color rgb="FFFF0000"/>
        <color rgb="FF00B050"/>
      </colorScale>
    </cfRule>
  </conditionalFormatting>
  <conditionalFormatting sqref="E10:F11 H10:H11">
    <cfRule type="iconSet" priority="54">
      <iconSet reverse="1">
        <cfvo type="percent" val="0"/>
        <cfvo type="num" val="45"/>
        <cfvo type="num" val="50" gte="0"/>
      </iconSet>
    </cfRule>
  </conditionalFormatting>
  <conditionalFormatting sqref="G16:G18">
    <cfRule type="colorScale" priority="17">
      <colorScale>
        <cfvo type="num" val="0"/>
        <cfvo type="num" val="1"/>
        <color rgb="FFFF0000"/>
        <color rgb="FF00B050"/>
      </colorScale>
    </cfRule>
  </conditionalFormatting>
  <conditionalFormatting sqref="E16:F18 H18:I18 H16:H17">
    <cfRule type="iconSet" priority="16">
      <iconSet reverse="1">
        <cfvo type="percent" val="0"/>
        <cfvo type="num" val="720" gte="0"/>
        <cfvo type="num" val="800" gte="0"/>
      </iconSet>
    </cfRule>
  </conditionalFormatting>
  <conditionalFormatting sqref="E22:F23">
    <cfRule type="iconSet" priority="14">
      <iconSet reverse="1">
        <cfvo type="percent" val="0"/>
        <cfvo type="num" val="1188" gte="0"/>
        <cfvo type="num" val="1320" gte="0"/>
      </iconSet>
    </cfRule>
  </conditionalFormatting>
  <conditionalFormatting sqref="H23:I23">
    <cfRule type="iconSet" priority="12">
      <iconSet reverse="1">
        <cfvo type="percent" val="0"/>
        <cfvo type="num" val="1188" gte="0"/>
        <cfvo type="num" val="1320" gte="0"/>
      </iconSet>
    </cfRule>
  </conditionalFormatting>
  <conditionalFormatting sqref="G27:G28">
    <cfRule type="iconSet" priority="10">
      <iconSet reverse="1">
        <cfvo type="percent" val="0"/>
        <cfvo type="num" val="35.1" gte="0"/>
        <cfvo type="num" val="39" gte="0"/>
      </iconSet>
    </cfRule>
  </conditionalFormatting>
  <conditionalFormatting sqref="H22:I22">
    <cfRule type="iconSet" priority="6">
      <iconSet reverse="1">
        <cfvo type="percent" val="0"/>
        <cfvo type="num" val="1188" gte="0"/>
        <cfvo type="num" val="1320" gte="0"/>
      </iconSet>
    </cfRule>
  </conditionalFormatting>
  <conditionalFormatting sqref="I10:I11">
    <cfRule type="colorScale" priority="2">
      <colorScale>
        <cfvo type="num" val="0"/>
        <cfvo type="num" val="1"/>
        <color rgb="FFFF0000"/>
        <color rgb="FF00B050"/>
      </colorScale>
    </cfRule>
  </conditionalFormatting>
  <conditionalFormatting sqref="I16:I17">
    <cfRule type="colorScale" priority="1">
      <colorScale>
        <cfvo type="num" val="0"/>
        <cfvo type="num" val="1"/>
        <color rgb="FFFF0000"/>
        <color rgb="FF00B050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RelatorioDiario">
                <anchor moveWithCells="1" sizeWithCells="1">
                  <from>
                    <xdr:col>11</xdr:col>
                    <xdr:colOff>47625</xdr:colOff>
                    <xdr:row>0</xdr:row>
                    <xdr:rowOff>76200</xdr:rowOff>
                  </from>
                  <to>
                    <xdr:col>13</xdr:col>
                    <xdr:colOff>428625</xdr:colOff>
                    <xdr:row>0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RelatorioMensal">
                <anchor moveWithCells="1" sizeWithCells="1">
                  <from>
                    <xdr:col>14</xdr:col>
                    <xdr:colOff>76200</xdr:colOff>
                    <xdr:row>0</xdr:row>
                    <xdr:rowOff>66675</xdr:rowOff>
                  </from>
                  <to>
                    <xdr:col>16</xdr:col>
                    <xdr:colOff>457200</xdr:colOff>
                    <xdr:row>0</xdr:row>
                    <xdr:rowOff>581025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4"/>
  <dimension ref="A1:O771"/>
  <sheetViews>
    <sheetView topLeftCell="A460" workbookViewId="0">
      <selection activeCell="B519" sqref="B519:P548"/>
    </sheetView>
  </sheetViews>
  <sheetFormatPr defaultRowHeight="15" x14ac:dyDescent="0.25"/>
  <cols>
    <col min="1" max="1" width="10.7109375" bestFit="1" customWidth="1"/>
    <col min="2" max="2" width="17.7109375" bestFit="1" customWidth="1"/>
    <col min="3" max="3" width="18.5703125" bestFit="1" customWidth="1"/>
    <col min="4" max="4" width="18.28515625" bestFit="1" customWidth="1"/>
    <col min="5" max="5" width="17.42578125" bestFit="1" customWidth="1"/>
    <col min="6" max="6" width="18.140625" bestFit="1" customWidth="1"/>
    <col min="7" max="7" width="17.42578125" bestFit="1" customWidth="1"/>
    <col min="8" max="8" width="16.42578125" bestFit="1" customWidth="1"/>
    <col min="9" max="9" width="17.42578125" bestFit="1" customWidth="1"/>
    <col min="10" max="10" width="17" bestFit="1" customWidth="1"/>
    <col min="11" max="11" width="16.140625" bestFit="1" customWidth="1"/>
    <col min="12" max="12" width="16.85546875" bestFit="1" customWidth="1"/>
    <col min="13" max="13" width="16.140625" bestFit="1" customWidth="1"/>
    <col min="14" max="15" width="16.7109375" bestFit="1" customWidth="1"/>
  </cols>
  <sheetData>
    <row r="1" spans="1:15" x14ac:dyDescent="0.25">
      <c r="A1" t="s">
        <v>60</v>
      </c>
      <c r="B1" s="1" t="s">
        <v>38</v>
      </c>
      <c r="C1" s="1" t="s">
        <v>39</v>
      </c>
      <c r="D1" s="1" t="s">
        <v>40</v>
      </c>
      <c r="E1" s="1" t="s">
        <v>41</v>
      </c>
      <c r="F1" s="1" t="s">
        <v>42</v>
      </c>
      <c r="G1" s="1" t="s">
        <v>43</v>
      </c>
      <c r="H1" s="1" t="s">
        <v>44</v>
      </c>
      <c r="I1" s="1" t="s">
        <v>45</v>
      </c>
      <c r="J1" s="1" t="s">
        <v>46</v>
      </c>
      <c r="K1" s="1" t="s">
        <v>47</v>
      </c>
      <c r="L1" s="1" t="s">
        <v>48</v>
      </c>
      <c r="M1" s="1" t="s">
        <v>49</v>
      </c>
      <c r="N1" s="1" t="s">
        <v>50</v>
      </c>
      <c r="O1" s="1" t="s">
        <v>51</v>
      </c>
    </row>
    <row r="2" spans="1:15" x14ac:dyDescent="0.25">
      <c r="A2" s="47">
        <v>43831</v>
      </c>
      <c r="B2" s="2">
        <v>47.89</v>
      </c>
      <c r="C2" s="53">
        <v>957.52</v>
      </c>
      <c r="D2" s="2">
        <v>995.83</v>
      </c>
      <c r="E2" s="2">
        <v>1083</v>
      </c>
      <c r="F2" s="2">
        <v>4.99</v>
      </c>
      <c r="G2" s="2">
        <v>13.44</v>
      </c>
      <c r="H2" s="2">
        <v>20.93</v>
      </c>
      <c r="I2" s="53">
        <v>813.96</v>
      </c>
      <c r="J2" s="2">
        <v>1169.8699999999999</v>
      </c>
      <c r="K2" s="2">
        <v>1202.1500000000001</v>
      </c>
      <c r="L2" s="2">
        <v>4.84</v>
      </c>
      <c r="M2" s="2">
        <v>15.11</v>
      </c>
      <c r="N2" s="2">
        <v>7.33</v>
      </c>
      <c r="O2" s="3" t="s">
        <v>36</v>
      </c>
    </row>
    <row r="3" spans="1:15" x14ac:dyDescent="0.25">
      <c r="A3" s="47">
        <v>43832</v>
      </c>
      <c r="B3" s="53">
        <v>84.6</v>
      </c>
      <c r="C3" s="2">
        <v>781.42</v>
      </c>
      <c r="D3" s="2">
        <v>1141</v>
      </c>
      <c r="E3" s="2">
        <v>1120.92</v>
      </c>
      <c r="F3" s="2">
        <v>4.68</v>
      </c>
      <c r="G3" s="2">
        <v>12.72</v>
      </c>
      <c r="H3" s="2">
        <v>26.09</v>
      </c>
      <c r="I3" s="53">
        <v>896.45</v>
      </c>
      <c r="J3" s="2">
        <v>1395.73</v>
      </c>
      <c r="K3" s="2">
        <v>1288.3800000000001</v>
      </c>
      <c r="L3" s="2">
        <v>5.55</v>
      </c>
      <c r="M3" s="2">
        <v>15.83</v>
      </c>
      <c r="N3" s="2">
        <v>7.33</v>
      </c>
      <c r="O3" s="3" t="s">
        <v>36</v>
      </c>
    </row>
    <row r="4" spans="1:15" x14ac:dyDescent="0.25">
      <c r="A4" s="47">
        <v>43833</v>
      </c>
      <c r="B4" s="2">
        <v>29.46</v>
      </c>
      <c r="C4" s="2">
        <v>725.58</v>
      </c>
      <c r="D4" s="2">
        <v>934.99</v>
      </c>
      <c r="E4" s="2">
        <v>1088.1199999999999</v>
      </c>
      <c r="F4" s="2">
        <v>4.8600000000000003</v>
      </c>
      <c r="G4" s="2">
        <v>13.84</v>
      </c>
      <c r="H4" s="2">
        <v>36.380000000000003</v>
      </c>
      <c r="I4" s="2">
        <v>631.54999999999995</v>
      </c>
      <c r="J4" s="2">
        <v>1128.8699999999999</v>
      </c>
      <c r="K4" s="2">
        <v>1116.51</v>
      </c>
      <c r="L4" s="2">
        <v>4.49</v>
      </c>
      <c r="M4" s="2">
        <v>14.82</v>
      </c>
      <c r="N4" s="2">
        <v>7.33</v>
      </c>
      <c r="O4" s="3" t="s">
        <v>36</v>
      </c>
    </row>
    <row r="5" spans="1:15" x14ac:dyDescent="0.25">
      <c r="A5" s="47">
        <v>43834</v>
      </c>
      <c r="B5" s="2">
        <v>30.33</v>
      </c>
      <c r="C5" s="2">
        <v>785.91</v>
      </c>
      <c r="D5" s="2">
        <v>957.19</v>
      </c>
      <c r="E5" s="2">
        <v>1096.81</v>
      </c>
      <c r="F5" s="2">
        <v>5.4</v>
      </c>
      <c r="G5" s="2">
        <v>13.81</v>
      </c>
      <c r="H5" s="2">
        <v>32.29</v>
      </c>
      <c r="I5" s="2">
        <v>698.88</v>
      </c>
      <c r="J5" s="2">
        <v>1100.8900000000001</v>
      </c>
      <c r="K5" s="2">
        <v>1130.6400000000001</v>
      </c>
      <c r="L5" s="2">
        <v>4.38</v>
      </c>
      <c r="M5" s="2">
        <v>14.77</v>
      </c>
      <c r="N5" s="2">
        <v>7.33</v>
      </c>
      <c r="O5" s="3" t="s">
        <v>36</v>
      </c>
    </row>
    <row r="6" spans="1:15" x14ac:dyDescent="0.25">
      <c r="A6" s="47">
        <v>43835</v>
      </c>
      <c r="B6" s="2">
        <v>34.39</v>
      </c>
      <c r="C6" s="2">
        <v>773.39</v>
      </c>
      <c r="D6" s="2">
        <v>942.64</v>
      </c>
      <c r="E6" s="2">
        <v>1057.52</v>
      </c>
      <c r="F6" s="2">
        <v>5.66</v>
      </c>
      <c r="G6" s="2">
        <v>13.94</v>
      </c>
      <c r="H6" s="3" t="s">
        <v>70</v>
      </c>
      <c r="I6" s="3" t="s">
        <v>70</v>
      </c>
      <c r="J6" s="3" t="s">
        <v>70</v>
      </c>
      <c r="K6" s="3" t="s">
        <v>70</v>
      </c>
      <c r="L6" s="3" t="s">
        <v>70</v>
      </c>
      <c r="M6" s="2">
        <v>14.88</v>
      </c>
      <c r="N6" s="3" t="s">
        <v>36</v>
      </c>
      <c r="O6" s="3" t="s">
        <v>36</v>
      </c>
    </row>
    <row r="7" spans="1:15" x14ac:dyDescent="0.25">
      <c r="A7" s="47">
        <v>43836</v>
      </c>
      <c r="B7" s="53">
        <v>63.14</v>
      </c>
      <c r="C7" s="53">
        <v>802.98</v>
      </c>
      <c r="D7" s="2">
        <v>963.86</v>
      </c>
      <c r="E7" s="2">
        <v>1120.56</v>
      </c>
      <c r="F7" s="2">
        <v>5.46</v>
      </c>
      <c r="G7" s="2">
        <v>13.19</v>
      </c>
      <c r="H7" s="2">
        <v>22.08</v>
      </c>
      <c r="I7" s="53">
        <v>842.42</v>
      </c>
      <c r="J7" s="2">
        <v>1013.62</v>
      </c>
      <c r="K7" s="2">
        <v>1187.94</v>
      </c>
      <c r="L7" s="2">
        <v>4.68</v>
      </c>
      <c r="M7" s="2">
        <v>15.09</v>
      </c>
      <c r="N7" s="3" t="s">
        <v>36</v>
      </c>
      <c r="O7" s="3" t="s">
        <v>36</v>
      </c>
    </row>
    <row r="8" spans="1:15" x14ac:dyDescent="0.25">
      <c r="A8" s="47">
        <v>43837</v>
      </c>
      <c r="B8" s="53">
        <v>56.01</v>
      </c>
      <c r="C8" s="53">
        <v>1030.6600000000001</v>
      </c>
      <c r="D8" s="2">
        <v>943.79</v>
      </c>
      <c r="E8" s="2">
        <v>1102.6400000000001</v>
      </c>
      <c r="F8" s="2">
        <v>4.6399999999999997</v>
      </c>
      <c r="G8" s="2">
        <v>13.28</v>
      </c>
      <c r="H8" s="2">
        <v>22.25</v>
      </c>
      <c r="I8" s="2">
        <v>767.91</v>
      </c>
      <c r="J8" s="2">
        <v>975.61</v>
      </c>
      <c r="K8" s="2">
        <v>1113.1300000000001</v>
      </c>
      <c r="L8" s="2">
        <v>4.5599999999999996</v>
      </c>
      <c r="M8" s="2">
        <v>14.79</v>
      </c>
      <c r="N8" s="2">
        <v>7.33</v>
      </c>
      <c r="O8" s="3" t="s">
        <v>36</v>
      </c>
    </row>
    <row r="9" spans="1:15" x14ac:dyDescent="0.25">
      <c r="A9" s="47">
        <v>43838</v>
      </c>
      <c r="B9" s="53">
        <v>97.38</v>
      </c>
      <c r="C9" s="53">
        <v>1060.79</v>
      </c>
      <c r="D9" s="2">
        <v>1025.83</v>
      </c>
      <c r="E9" s="2">
        <v>1092.9000000000001</v>
      </c>
      <c r="F9" s="2">
        <v>4.8099999999999996</v>
      </c>
      <c r="G9" s="2">
        <v>12.52</v>
      </c>
      <c r="H9" s="2">
        <v>41.06</v>
      </c>
      <c r="I9" s="53">
        <v>826.17</v>
      </c>
      <c r="J9" s="2">
        <v>1099.51</v>
      </c>
      <c r="K9" s="2">
        <v>1096.3399999999999</v>
      </c>
      <c r="L9" s="2">
        <v>4.5999999999999996</v>
      </c>
      <c r="M9" s="2">
        <v>15.13</v>
      </c>
      <c r="N9" s="2">
        <v>7.33</v>
      </c>
      <c r="O9" s="3" t="s">
        <v>36</v>
      </c>
    </row>
    <row r="10" spans="1:15" x14ac:dyDescent="0.25">
      <c r="A10" s="47">
        <v>43839</v>
      </c>
      <c r="B10" s="53">
        <v>57.8</v>
      </c>
      <c r="C10" s="53">
        <v>989.35</v>
      </c>
      <c r="D10" s="2">
        <v>1039.97</v>
      </c>
      <c r="E10" s="2">
        <v>1077.76</v>
      </c>
      <c r="F10" s="2">
        <v>4.59</v>
      </c>
      <c r="G10" s="2">
        <v>13.62</v>
      </c>
      <c r="H10" s="2">
        <v>19.170000000000002</v>
      </c>
      <c r="I10" s="53">
        <v>856.6</v>
      </c>
      <c r="J10" s="2">
        <v>911.48</v>
      </c>
      <c r="K10" s="2">
        <v>1028.6300000000001</v>
      </c>
      <c r="L10" s="2">
        <v>4.37</v>
      </c>
      <c r="M10" s="2">
        <v>15.05</v>
      </c>
      <c r="N10" s="2">
        <v>7.33</v>
      </c>
      <c r="O10" s="3" t="s">
        <v>36</v>
      </c>
    </row>
    <row r="11" spans="1:15" x14ac:dyDescent="0.25">
      <c r="A11" s="47">
        <v>43840</v>
      </c>
      <c r="B11" s="53">
        <v>63.05</v>
      </c>
      <c r="C11" s="53">
        <v>919.98</v>
      </c>
      <c r="D11" s="2">
        <v>1282.44</v>
      </c>
      <c r="E11" s="2">
        <v>1179.82</v>
      </c>
      <c r="F11" s="53">
        <v>55.72</v>
      </c>
      <c r="G11" s="2">
        <v>12.28</v>
      </c>
      <c r="H11" s="2">
        <v>22.76</v>
      </c>
      <c r="I11" s="2">
        <v>711.12</v>
      </c>
      <c r="J11" s="2">
        <v>970.04</v>
      </c>
      <c r="K11" s="2">
        <v>1029.1400000000001</v>
      </c>
      <c r="L11" s="2">
        <v>3.86</v>
      </c>
      <c r="M11" s="2">
        <v>14.69</v>
      </c>
      <c r="N11" s="2">
        <v>7.33</v>
      </c>
      <c r="O11" s="3" t="s">
        <v>36</v>
      </c>
    </row>
    <row r="12" spans="1:15" x14ac:dyDescent="0.25">
      <c r="A12" s="47">
        <v>43841</v>
      </c>
      <c r="B12" s="53">
        <v>52.29</v>
      </c>
      <c r="C12" s="53">
        <v>830.15</v>
      </c>
      <c r="D12" s="2">
        <v>1208.6300000000001</v>
      </c>
      <c r="E12" s="2">
        <v>927.31</v>
      </c>
      <c r="F12" s="2">
        <v>6.09</v>
      </c>
      <c r="G12" s="2">
        <v>11.26</v>
      </c>
      <c r="H12" s="2">
        <v>19.93</v>
      </c>
      <c r="I12" s="2">
        <v>655.16</v>
      </c>
      <c r="J12" s="2">
        <v>933.97</v>
      </c>
      <c r="K12" s="2">
        <v>951.85</v>
      </c>
      <c r="L12" s="2">
        <v>3.75</v>
      </c>
      <c r="M12" s="2">
        <v>14.85</v>
      </c>
      <c r="N12" s="3" t="s">
        <v>36</v>
      </c>
      <c r="O12" s="3" t="s">
        <v>36</v>
      </c>
    </row>
    <row r="13" spans="1:15" x14ac:dyDescent="0.25">
      <c r="A13" s="47">
        <v>43842</v>
      </c>
      <c r="B13" s="2">
        <v>15.72</v>
      </c>
      <c r="C13" s="2">
        <v>799.7</v>
      </c>
      <c r="D13" s="2">
        <v>1240.71</v>
      </c>
      <c r="E13" s="2">
        <v>950.31</v>
      </c>
      <c r="F13" s="2">
        <v>6.2</v>
      </c>
      <c r="G13" s="2">
        <v>12.5</v>
      </c>
      <c r="H13" s="2">
        <v>19.170000000000002</v>
      </c>
      <c r="I13" s="53">
        <v>815.86</v>
      </c>
      <c r="J13" s="2">
        <v>916.35</v>
      </c>
      <c r="K13" s="2">
        <v>841.29</v>
      </c>
      <c r="L13" s="2">
        <v>3.74</v>
      </c>
      <c r="M13" s="2">
        <v>14.96</v>
      </c>
      <c r="N13" s="3" t="s">
        <v>36</v>
      </c>
      <c r="O13" s="3" t="s">
        <v>36</v>
      </c>
    </row>
    <row r="14" spans="1:15" x14ac:dyDescent="0.25">
      <c r="A14" s="47">
        <v>43843</v>
      </c>
      <c r="B14" s="3" t="s">
        <v>36</v>
      </c>
      <c r="C14" s="3" t="s">
        <v>36</v>
      </c>
      <c r="D14" s="3" t="s">
        <v>36</v>
      </c>
      <c r="E14" s="3" t="s">
        <v>36</v>
      </c>
      <c r="F14" s="3" t="s">
        <v>36</v>
      </c>
      <c r="G14" s="3" t="s">
        <v>36</v>
      </c>
      <c r="H14" s="2">
        <v>21.26</v>
      </c>
      <c r="I14" s="2">
        <v>773.07</v>
      </c>
      <c r="J14" s="2">
        <v>953.24</v>
      </c>
      <c r="K14" s="2">
        <v>791.11</v>
      </c>
      <c r="L14" s="2">
        <v>3.92</v>
      </c>
      <c r="M14" s="2">
        <v>14.76</v>
      </c>
      <c r="N14" s="2">
        <v>7.33</v>
      </c>
      <c r="O14" s="3" t="s">
        <v>36</v>
      </c>
    </row>
    <row r="15" spans="1:15" x14ac:dyDescent="0.25">
      <c r="A15" s="47">
        <v>43844</v>
      </c>
      <c r="B15" s="3" t="s">
        <v>36</v>
      </c>
      <c r="C15" s="3" t="s">
        <v>36</v>
      </c>
      <c r="D15" s="3" t="s">
        <v>36</v>
      </c>
      <c r="E15" s="3" t="s">
        <v>36</v>
      </c>
      <c r="F15" s="3" t="s">
        <v>36</v>
      </c>
      <c r="G15" s="3" t="s">
        <v>36</v>
      </c>
      <c r="H15" s="2">
        <v>20.16</v>
      </c>
      <c r="I15" s="2">
        <v>614.36</v>
      </c>
      <c r="J15" s="2">
        <v>950.97</v>
      </c>
      <c r="K15" s="2">
        <v>797.72</v>
      </c>
      <c r="L15" s="2">
        <v>3.7</v>
      </c>
      <c r="M15" s="2">
        <v>14.72</v>
      </c>
      <c r="N15" s="2">
        <v>7.33</v>
      </c>
      <c r="O15" s="3" t="s">
        <v>36</v>
      </c>
    </row>
    <row r="16" spans="1:15" x14ac:dyDescent="0.25">
      <c r="A16" s="47">
        <v>43845</v>
      </c>
      <c r="B16" s="3" t="s">
        <v>36</v>
      </c>
      <c r="C16" s="3" t="s">
        <v>36</v>
      </c>
      <c r="D16" s="3" t="s">
        <v>36</v>
      </c>
      <c r="E16" s="3" t="s">
        <v>36</v>
      </c>
      <c r="F16" s="3" t="s">
        <v>36</v>
      </c>
      <c r="G16" s="3" t="s">
        <v>36</v>
      </c>
      <c r="H16" s="2">
        <v>17.61</v>
      </c>
      <c r="I16" s="2">
        <v>506.77</v>
      </c>
      <c r="J16" s="2">
        <v>864.62</v>
      </c>
      <c r="K16" s="2">
        <v>720.34</v>
      </c>
      <c r="L16" s="2">
        <v>4.3099999999999996</v>
      </c>
      <c r="M16" s="2">
        <v>14.74</v>
      </c>
      <c r="N16" s="2">
        <v>7.33</v>
      </c>
      <c r="O16" s="3" t="s">
        <v>36</v>
      </c>
    </row>
    <row r="17" spans="1:15" x14ac:dyDescent="0.25">
      <c r="A17" s="47">
        <v>43846</v>
      </c>
      <c r="B17" s="3" t="s">
        <v>36</v>
      </c>
      <c r="C17" s="3" t="s">
        <v>36</v>
      </c>
      <c r="D17" s="3" t="s">
        <v>36</v>
      </c>
      <c r="E17" s="3" t="s">
        <v>36</v>
      </c>
      <c r="F17" s="3" t="s">
        <v>36</v>
      </c>
      <c r="G17" s="3" t="s">
        <v>36</v>
      </c>
      <c r="H17" s="2">
        <v>17.12</v>
      </c>
      <c r="I17" s="2">
        <v>702.33</v>
      </c>
      <c r="J17" s="2">
        <v>879.21</v>
      </c>
      <c r="K17" s="2">
        <v>702.44</v>
      </c>
      <c r="L17" s="2">
        <v>3.62</v>
      </c>
      <c r="M17" s="2">
        <v>14.7</v>
      </c>
      <c r="N17" s="2">
        <v>7.33</v>
      </c>
      <c r="O17" s="2">
        <v>7.0000000000000007E-2</v>
      </c>
    </row>
    <row r="18" spans="1:15" x14ac:dyDescent="0.25">
      <c r="A18" s="47">
        <v>43847</v>
      </c>
      <c r="B18" s="3" t="s">
        <v>36</v>
      </c>
      <c r="C18" s="3" t="s">
        <v>36</v>
      </c>
      <c r="D18" s="3" t="s">
        <v>36</v>
      </c>
      <c r="E18" s="3" t="s">
        <v>36</v>
      </c>
      <c r="F18" s="3" t="s">
        <v>36</v>
      </c>
      <c r="G18" s="3" t="s">
        <v>36</v>
      </c>
      <c r="H18" s="2">
        <v>21.45</v>
      </c>
      <c r="I18" s="2">
        <v>768.22</v>
      </c>
      <c r="J18" s="2">
        <v>964.05</v>
      </c>
      <c r="K18" s="2">
        <v>720.55</v>
      </c>
      <c r="L18" s="2">
        <v>3.64</v>
      </c>
      <c r="M18" s="2">
        <v>14.62</v>
      </c>
      <c r="N18" s="2">
        <v>7.33</v>
      </c>
      <c r="O18" s="3" t="s">
        <v>36</v>
      </c>
    </row>
    <row r="19" spans="1:15" x14ac:dyDescent="0.25">
      <c r="A19" s="47">
        <v>43848</v>
      </c>
      <c r="B19" s="3" t="s">
        <v>36</v>
      </c>
      <c r="C19" s="3" t="s">
        <v>36</v>
      </c>
      <c r="D19" s="3" t="s">
        <v>36</v>
      </c>
      <c r="E19" s="3" t="s">
        <v>36</v>
      </c>
      <c r="F19" s="3" t="s">
        <v>36</v>
      </c>
      <c r="G19" s="3" t="s">
        <v>36</v>
      </c>
      <c r="H19" s="2">
        <v>19.63</v>
      </c>
      <c r="I19" s="2">
        <v>691.56</v>
      </c>
      <c r="J19" s="2">
        <v>897.12</v>
      </c>
      <c r="K19" s="2">
        <v>707.81</v>
      </c>
      <c r="L19" s="2">
        <v>3.96</v>
      </c>
      <c r="M19" s="2">
        <v>14.81</v>
      </c>
      <c r="N19" s="2">
        <v>7.33</v>
      </c>
      <c r="O19" s="2">
        <v>1</v>
      </c>
    </row>
    <row r="20" spans="1:15" x14ac:dyDescent="0.25">
      <c r="A20" s="47">
        <v>43849</v>
      </c>
      <c r="B20" s="3" t="s">
        <v>36</v>
      </c>
      <c r="C20" s="3" t="s">
        <v>36</v>
      </c>
      <c r="D20" s="3" t="s">
        <v>36</v>
      </c>
      <c r="E20" s="3" t="s">
        <v>36</v>
      </c>
      <c r="F20" s="3" t="s">
        <v>36</v>
      </c>
      <c r="G20" s="3" t="s">
        <v>36</v>
      </c>
      <c r="H20" s="2">
        <v>25.78</v>
      </c>
      <c r="I20" s="2">
        <v>699.98</v>
      </c>
      <c r="J20" s="2">
        <v>1103.5899999999999</v>
      </c>
      <c r="K20" s="2">
        <v>865.2</v>
      </c>
      <c r="L20" s="2">
        <v>4.12</v>
      </c>
      <c r="M20" s="2">
        <v>14.69</v>
      </c>
      <c r="N20" s="2">
        <v>7.33</v>
      </c>
      <c r="O20" s="2">
        <v>0.64</v>
      </c>
    </row>
    <row r="21" spans="1:15" x14ac:dyDescent="0.25">
      <c r="A21" s="47">
        <v>43850</v>
      </c>
      <c r="B21" s="3" t="s">
        <v>36</v>
      </c>
      <c r="C21" s="3" t="s">
        <v>36</v>
      </c>
      <c r="D21" s="3" t="s">
        <v>36</v>
      </c>
      <c r="E21" s="3" t="s">
        <v>36</v>
      </c>
      <c r="F21" s="3" t="s">
        <v>36</v>
      </c>
      <c r="G21" s="3" t="s">
        <v>36</v>
      </c>
      <c r="H21" s="2">
        <v>25.8</v>
      </c>
      <c r="I21" s="2">
        <v>660.97</v>
      </c>
      <c r="J21" s="2">
        <v>1162.54</v>
      </c>
      <c r="K21" s="2">
        <v>881.1</v>
      </c>
      <c r="L21" s="2">
        <v>4.13</v>
      </c>
      <c r="M21" s="2">
        <v>14.59</v>
      </c>
      <c r="N21" s="2">
        <v>7.33</v>
      </c>
      <c r="O21" s="2">
        <v>7.0000000000000007E-2</v>
      </c>
    </row>
    <row r="22" spans="1:15" x14ac:dyDescent="0.25">
      <c r="A22" s="47">
        <v>43851</v>
      </c>
      <c r="B22" s="3" t="s">
        <v>36</v>
      </c>
      <c r="C22" s="3" t="s">
        <v>36</v>
      </c>
      <c r="D22" s="3" t="s">
        <v>36</v>
      </c>
      <c r="E22" s="3" t="s">
        <v>36</v>
      </c>
      <c r="F22" s="3" t="s">
        <v>36</v>
      </c>
      <c r="G22" s="3" t="s">
        <v>36</v>
      </c>
      <c r="H22" s="2">
        <v>26.05</v>
      </c>
      <c r="I22" s="2">
        <v>675.22</v>
      </c>
      <c r="J22" s="2">
        <v>1165.68</v>
      </c>
      <c r="K22" s="2">
        <v>852.08</v>
      </c>
      <c r="L22" s="2">
        <v>4.13</v>
      </c>
      <c r="M22" s="2">
        <v>14.67</v>
      </c>
      <c r="N22" s="2">
        <v>7.33</v>
      </c>
      <c r="O22" s="2">
        <v>0.08</v>
      </c>
    </row>
    <row r="23" spans="1:15" x14ac:dyDescent="0.25">
      <c r="A23" s="47">
        <v>43852</v>
      </c>
      <c r="B23" s="3" t="s">
        <v>36</v>
      </c>
      <c r="C23" s="3" t="s">
        <v>36</v>
      </c>
      <c r="D23" s="3" t="s">
        <v>36</v>
      </c>
      <c r="E23" s="3" t="s">
        <v>36</v>
      </c>
      <c r="F23" s="3" t="s">
        <v>36</v>
      </c>
      <c r="G23" s="3" t="s">
        <v>36</v>
      </c>
      <c r="H23" s="2">
        <v>20.46</v>
      </c>
      <c r="I23" s="2">
        <v>786.45</v>
      </c>
      <c r="J23" s="2">
        <v>1056.53</v>
      </c>
      <c r="K23" s="2">
        <v>781.21</v>
      </c>
      <c r="L23" s="2">
        <v>4.6399999999999997</v>
      </c>
      <c r="M23" s="2">
        <v>14.97</v>
      </c>
      <c r="N23" s="2">
        <v>7.33</v>
      </c>
      <c r="O23" s="2">
        <v>0.5</v>
      </c>
    </row>
    <row r="24" spans="1:15" x14ac:dyDescent="0.25">
      <c r="A24" s="47">
        <v>43853</v>
      </c>
      <c r="B24" s="3" t="s">
        <v>36</v>
      </c>
      <c r="C24" s="3" t="s">
        <v>36</v>
      </c>
      <c r="D24" s="3" t="s">
        <v>36</v>
      </c>
      <c r="E24" s="3" t="s">
        <v>36</v>
      </c>
      <c r="F24" s="3" t="s">
        <v>36</v>
      </c>
      <c r="G24" s="3" t="s">
        <v>36</v>
      </c>
      <c r="H24" s="2">
        <v>23.27</v>
      </c>
      <c r="I24" s="53">
        <v>806.98</v>
      </c>
      <c r="J24" s="2">
        <v>1125.9100000000001</v>
      </c>
      <c r="K24" s="2">
        <v>803.4</v>
      </c>
      <c r="L24" s="2">
        <v>4.6399999999999997</v>
      </c>
      <c r="M24" s="2">
        <v>15.25</v>
      </c>
      <c r="N24" s="2">
        <v>7.33</v>
      </c>
      <c r="O24" s="2">
        <v>0.82</v>
      </c>
    </row>
    <row r="25" spans="1:15" x14ac:dyDescent="0.25">
      <c r="A25" s="47">
        <v>43854</v>
      </c>
      <c r="B25" s="3" t="s">
        <v>36</v>
      </c>
      <c r="C25" s="3" t="s">
        <v>36</v>
      </c>
      <c r="D25" s="3" t="s">
        <v>36</v>
      </c>
      <c r="E25" s="3" t="s">
        <v>36</v>
      </c>
      <c r="F25" s="3" t="s">
        <v>36</v>
      </c>
      <c r="G25" s="3" t="s">
        <v>36</v>
      </c>
      <c r="H25" s="2">
        <v>22.15</v>
      </c>
      <c r="I25" s="2">
        <v>763.75</v>
      </c>
      <c r="J25" s="2">
        <v>1015.43</v>
      </c>
      <c r="K25" s="2">
        <v>772.66</v>
      </c>
      <c r="L25" s="2">
        <v>4.1100000000000003</v>
      </c>
      <c r="M25" s="2">
        <v>15.12</v>
      </c>
      <c r="N25" s="2">
        <v>7.33</v>
      </c>
      <c r="O25" s="2">
        <v>1.66</v>
      </c>
    </row>
    <row r="26" spans="1:15" x14ac:dyDescent="0.25">
      <c r="A26" s="47">
        <v>43855</v>
      </c>
      <c r="B26" s="3" t="s">
        <v>36</v>
      </c>
      <c r="C26" s="3" t="s">
        <v>36</v>
      </c>
      <c r="D26" s="3" t="s">
        <v>36</v>
      </c>
      <c r="E26" s="3" t="s">
        <v>36</v>
      </c>
      <c r="F26" s="3" t="s">
        <v>36</v>
      </c>
      <c r="G26" s="3" t="s">
        <v>36</v>
      </c>
      <c r="H26" s="2">
        <v>22.39</v>
      </c>
      <c r="I26" s="2">
        <v>764.53</v>
      </c>
      <c r="J26" s="2">
        <v>968.61</v>
      </c>
      <c r="K26" s="2">
        <v>724.33</v>
      </c>
      <c r="L26" s="2">
        <v>4.0999999999999996</v>
      </c>
      <c r="M26" s="2">
        <v>14.88</v>
      </c>
      <c r="N26" s="2">
        <v>7.33</v>
      </c>
      <c r="O26" s="3" t="s">
        <v>36</v>
      </c>
    </row>
    <row r="27" spans="1:15" x14ac:dyDescent="0.25">
      <c r="A27" s="47">
        <v>43856</v>
      </c>
      <c r="B27" s="3" t="s">
        <v>36</v>
      </c>
      <c r="C27" s="3" t="s">
        <v>36</v>
      </c>
      <c r="D27" s="3" t="s">
        <v>36</v>
      </c>
      <c r="E27" s="3" t="s">
        <v>36</v>
      </c>
      <c r="F27" s="3" t="s">
        <v>36</v>
      </c>
      <c r="G27" s="3" t="s">
        <v>36</v>
      </c>
      <c r="H27" s="2">
        <v>20.45</v>
      </c>
      <c r="I27" s="2">
        <v>749.74</v>
      </c>
      <c r="J27" s="2">
        <v>960.94</v>
      </c>
      <c r="K27" s="2">
        <v>667.09</v>
      </c>
      <c r="L27" s="2">
        <v>3.76</v>
      </c>
      <c r="M27" s="2">
        <v>14.89</v>
      </c>
      <c r="N27" s="2">
        <v>7.33</v>
      </c>
      <c r="O27" s="3" t="s">
        <v>36</v>
      </c>
    </row>
    <row r="28" spans="1:15" x14ac:dyDescent="0.25">
      <c r="A28" s="47">
        <v>43857</v>
      </c>
      <c r="B28" s="3" t="s">
        <v>36</v>
      </c>
      <c r="C28" s="3" t="s">
        <v>36</v>
      </c>
      <c r="D28" s="3" t="s">
        <v>36</v>
      </c>
      <c r="E28" s="3" t="s">
        <v>36</v>
      </c>
      <c r="F28" s="3" t="s">
        <v>36</v>
      </c>
      <c r="G28" s="3" t="s">
        <v>36</v>
      </c>
      <c r="H28" s="2">
        <v>21.29</v>
      </c>
      <c r="I28" s="2">
        <v>783.04</v>
      </c>
      <c r="J28" s="2">
        <v>971.59</v>
      </c>
      <c r="K28" s="2">
        <v>639.64</v>
      </c>
      <c r="L28" s="2">
        <v>3.72</v>
      </c>
      <c r="M28" s="2">
        <v>14.66</v>
      </c>
      <c r="N28" s="2">
        <v>7.33</v>
      </c>
      <c r="O28" s="3" t="s">
        <v>36</v>
      </c>
    </row>
    <row r="29" spans="1:15" x14ac:dyDescent="0.25">
      <c r="A29" s="47">
        <v>43858</v>
      </c>
      <c r="B29" s="3" t="s">
        <v>36</v>
      </c>
      <c r="C29" s="3" t="s">
        <v>36</v>
      </c>
      <c r="D29" s="3" t="s">
        <v>36</v>
      </c>
      <c r="E29" s="3" t="s">
        <v>36</v>
      </c>
      <c r="F29" s="3" t="s">
        <v>36</v>
      </c>
      <c r="G29" s="3" t="s">
        <v>36</v>
      </c>
      <c r="H29" s="2">
        <v>19.79</v>
      </c>
      <c r="I29" s="53">
        <v>817.76</v>
      </c>
      <c r="J29" s="2">
        <v>922.13</v>
      </c>
      <c r="K29" s="2">
        <v>670.29</v>
      </c>
      <c r="L29" s="2">
        <v>3.76</v>
      </c>
      <c r="M29" s="2">
        <v>14.83</v>
      </c>
      <c r="N29" s="2">
        <v>7.33</v>
      </c>
      <c r="O29" s="3" t="s">
        <v>36</v>
      </c>
    </row>
    <row r="30" spans="1:15" x14ac:dyDescent="0.25">
      <c r="A30" s="47">
        <v>43859</v>
      </c>
      <c r="B30" s="3" t="s">
        <v>36</v>
      </c>
      <c r="C30" s="3" t="s">
        <v>36</v>
      </c>
      <c r="D30" s="3" t="s">
        <v>36</v>
      </c>
      <c r="E30" s="3" t="s">
        <v>36</v>
      </c>
      <c r="F30" s="3" t="s">
        <v>36</v>
      </c>
      <c r="G30" s="3" t="s">
        <v>36</v>
      </c>
      <c r="H30" s="2">
        <v>21.79</v>
      </c>
      <c r="I30" s="53">
        <v>811.53</v>
      </c>
      <c r="J30" s="2">
        <v>968.08</v>
      </c>
      <c r="K30" s="2">
        <v>586.37</v>
      </c>
      <c r="L30" s="2">
        <v>3.81</v>
      </c>
      <c r="M30" s="2">
        <v>14.58</v>
      </c>
      <c r="N30" s="2">
        <v>7.33</v>
      </c>
      <c r="O30" s="3" t="s">
        <v>36</v>
      </c>
    </row>
    <row r="31" spans="1:15" x14ac:dyDescent="0.25">
      <c r="A31" s="47">
        <v>43860</v>
      </c>
      <c r="B31" s="3" t="s">
        <v>70</v>
      </c>
      <c r="C31" s="3" t="s">
        <v>70</v>
      </c>
      <c r="D31" s="3" t="s">
        <v>70</v>
      </c>
      <c r="E31" s="3" t="s">
        <v>70</v>
      </c>
      <c r="F31" s="3" t="s">
        <v>70</v>
      </c>
      <c r="G31" s="2">
        <v>13.01</v>
      </c>
      <c r="H31" s="2">
        <v>20.97</v>
      </c>
      <c r="I31" s="2">
        <v>440.46</v>
      </c>
      <c r="J31" s="2">
        <v>939.19</v>
      </c>
      <c r="K31" s="2">
        <v>497.31</v>
      </c>
      <c r="L31" s="2">
        <v>3.53</v>
      </c>
      <c r="M31" s="2">
        <v>14.33</v>
      </c>
      <c r="N31" s="2">
        <v>7.33</v>
      </c>
      <c r="O31" s="3" t="s">
        <v>36</v>
      </c>
    </row>
    <row r="32" spans="1:15" x14ac:dyDescent="0.25">
      <c r="A32" s="47">
        <v>43861</v>
      </c>
      <c r="B32" s="2">
        <v>23.55</v>
      </c>
      <c r="C32" s="2">
        <v>702.99</v>
      </c>
      <c r="D32" s="2">
        <v>962.84</v>
      </c>
      <c r="E32" s="2">
        <v>955.71</v>
      </c>
      <c r="F32" s="2">
        <v>1.35</v>
      </c>
      <c r="G32" s="2">
        <v>13.65</v>
      </c>
      <c r="H32" s="2">
        <v>23.19</v>
      </c>
      <c r="I32" s="2">
        <v>714.38</v>
      </c>
      <c r="J32" s="2">
        <v>862.03</v>
      </c>
      <c r="K32" s="2">
        <v>521.95000000000005</v>
      </c>
      <c r="L32" s="2">
        <v>3.43</v>
      </c>
      <c r="M32" s="2">
        <v>14.77</v>
      </c>
      <c r="N32" s="2">
        <v>7.33</v>
      </c>
      <c r="O32" s="3" t="s">
        <v>36</v>
      </c>
    </row>
    <row r="33" spans="1:15" x14ac:dyDescent="0.25">
      <c r="A33" s="47">
        <v>43862</v>
      </c>
      <c r="B33" s="2">
        <v>16.03</v>
      </c>
      <c r="C33" s="2">
        <v>790.05</v>
      </c>
      <c r="D33" s="2">
        <v>728.32</v>
      </c>
      <c r="E33" s="2">
        <v>914.43</v>
      </c>
      <c r="F33" s="2">
        <v>0.55000000000000004</v>
      </c>
      <c r="G33" s="2">
        <v>13.88</v>
      </c>
      <c r="H33" s="2">
        <v>25.39</v>
      </c>
      <c r="I33" s="2">
        <v>769.5</v>
      </c>
      <c r="J33" s="2">
        <v>758.59</v>
      </c>
      <c r="K33" s="2">
        <v>478.59</v>
      </c>
      <c r="L33" s="2">
        <v>3.61</v>
      </c>
      <c r="M33" s="2">
        <v>14.82</v>
      </c>
      <c r="N33" s="2">
        <v>7.33</v>
      </c>
      <c r="O33" s="3" t="s">
        <v>36</v>
      </c>
    </row>
    <row r="34" spans="1:15" x14ac:dyDescent="0.25">
      <c r="A34" s="47">
        <v>43863</v>
      </c>
      <c r="B34" s="2">
        <v>22.24</v>
      </c>
      <c r="C34" s="53">
        <v>944.45</v>
      </c>
      <c r="D34" s="2">
        <v>861</v>
      </c>
      <c r="E34" s="2">
        <v>912.39</v>
      </c>
      <c r="F34" s="2">
        <v>0.57999999999999996</v>
      </c>
      <c r="G34" s="2">
        <v>13.64</v>
      </c>
      <c r="H34" s="2">
        <v>23.24</v>
      </c>
      <c r="I34" s="2">
        <v>773.8</v>
      </c>
      <c r="J34" s="2">
        <v>732.32</v>
      </c>
      <c r="K34" s="2">
        <v>507.27</v>
      </c>
      <c r="L34" s="2">
        <v>3.64</v>
      </c>
      <c r="M34" s="2">
        <v>14.94</v>
      </c>
      <c r="N34" s="3" t="s">
        <v>36</v>
      </c>
      <c r="O34" s="3" t="s">
        <v>36</v>
      </c>
    </row>
    <row r="35" spans="1:15" x14ac:dyDescent="0.25">
      <c r="A35" s="47">
        <v>43864</v>
      </c>
      <c r="B35" s="2">
        <v>8.9</v>
      </c>
      <c r="C35" s="53">
        <v>1062.45</v>
      </c>
      <c r="D35" s="2">
        <v>838.71</v>
      </c>
      <c r="E35" s="2">
        <v>879.84</v>
      </c>
      <c r="F35" s="2">
        <v>0.51</v>
      </c>
      <c r="G35" s="2">
        <v>13.74</v>
      </c>
      <c r="H35" s="2">
        <v>24.46</v>
      </c>
      <c r="I35" s="53">
        <v>818.35</v>
      </c>
      <c r="J35" s="2">
        <v>672.54</v>
      </c>
      <c r="K35" s="2">
        <v>489.18</v>
      </c>
      <c r="L35" s="2">
        <v>3.84</v>
      </c>
      <c r="M35" s="2">
        <v>15.02</v>
      </c>
      <c r="N35" s="2">
        <v>7.33</v>
      </c>
      <c r="O35" s="2">
        <v>0.04</v>
      </c>
    </row>
    <row r="36" spans="1:15" x14ac:dyDescent="0.25">
      <c r="A36" s="47">
        <v>43865</v>
      </c>
      <c r="B36" s="2">
        <v>15.67</v>
      </c>
      <c r="C36" s="53">
        <v>944.66</v>
      </c>
      <c r="D36" s="2">
        <v>690.53</v>
      </c>
      <c r="E36" s="2">
        <v>816.42</v>
      </c>
      <c r="F36" s="2">
        <v>0.64</v>
      </c>
      <c r="G36" s="2">
        <v>13.93</v>
      </c>
      <c r="H36" s="2">
        <v>26.94</v>
      </c>
      <c r="I36" s="2">
        <v>790.78</v>
      </c>
      <c r="J36" s="2">
        <v>821.06</v>
      </c>
      <c r="K36" s="2">
        <v>497.04</v>
      </c>
      <c r="L36" s="2">
        <v>3.73</v>
      </c>
      <c r="M36" s="2">
        <v>14.97</v>
      </c>
      <c r="N36" s="2">
        <v>7.33</v>
      </c>
      <c r="O36" s="3" t="s">
        <v>36</v>
      </c>
    </row>
    <row r="37" spans="1:15" x14ac:dyDescent="0.25">
      <c r="A37" s="47">
        <v>43866</v>
      </c>
      <c r="B37" s="2">
        <v>8.48</v>
      </c>
      <c r="C37" s="2">
        <v>796.64</v>
      </c>
      <c r="D37" s="2">
        <v>596.22</v>
      </c>
      <c r="E37" s="2">
        <v>764.21</v>
      </c>
      <c r="F37" s="2">
        <v>1.54</v>
      </c>
      <c r="G37" s="2">
        <v>13.92</v>
      </c>
      <c r="H37" s="2">
        <v>26.14</v>
      </c>
      <c r="I37" s="2">
        <v>740.53</v>
      </c>
      <c r="J37" s="2">
        <v>668.04</v>
      </c>
      <c r="K37" s="2">
        <v>476.74</v>
      </c>
      <c r="L37" s="2">
        <v>3.97</v>
      </c>
      <c r="M37" s="2">
        <v>15.11</v>
      </c>
      <c r="N37" s="2">
        <v>7.33</v>
      </c>
      <c r="O37" s="3" t="s">
        <v>36</v>
      </c>
    </row>
    <row r="38" spans="1:15" x14ac:dyDescent="0.25">
      <c r="A38" s="47">
        <v>43867</v>
      </c>
      <c r="B38" s="2">
        <v>10.14</v>
      </c>
      <c r="C38" s="2">
        <v>787.51</v>
      </c>
      <c r="D38" s="2">
        <v>734.28</v>
      </c>
      <c r="E38" s="2">
        <v>796.09</v>
      </c>
      <c r="F38" s="2">
        <v>2.59</v>
      </c>
      <c r="G38" s="2">
        <v>13.59</v>
      </c>
      <c r="H38" s="2">
        <v>31.24</v>
      </c>
      <c r="I38" s="2">
        <v>785.65</v>
      </c>
      <c r="J38" s="2">
        <v>1038.6300000000001</v>
      </c>
      <c r="K38" s="2">
        <v>485.16</v>
      </c>
      <c r="L38" s="2">
        <v>4.2699999999999996</v>
      </c>
      <c r="M38" s="2">
        <v>15.32</v>
      </c>
      <c r="N38" s="2">
        <v>7.33</v>
      </c>
      <c r="O38" s="3" t="s">
        <v>36</v>
      </c>
    </row>
    <row r="39" spans="1:15" x14ac:dyDescent="0.25">
      <c r="A39" s="47">
        <v>43868</v>
      </c>
      <c r="B39" s="2">
        <v>31.06</v>
      </c>
      <c r="C39" s="2">
        <v>781.51</v>
      </c>
      <c r="D39" s="2">
        <v>937.09</v>
      </c>
      <c r="E39" s="2">
        <v>863.22</v>
      </c>
      <c r="F39" s="2">
        <v>5.53</v>
      </c>
      <c r="G39" s="2">
        <v>13.38</v>
      </c>
      <c r="H39" s="3" t="s">
        <v>70</v>
      </c>
      <c r="I39" s="3" t="s">
        <v>70</v>
      </c>
      <c r="J39" s="3" t="s">
        <v>70</v>
      </c>
      <c r="K39" s="3" t="s">
        <v>70</v>
      </c>
      <c r="L39" s="3" t="s">
        <v>70</v>
      </c>
      <c r="M39" s="2">
        <v>14.37</v>
      </c>
      <c r="N39" s="2">
        <v>7.33</v>
      </c>
      <c r="O39" s="2">
        <v>0.93</v>
      </c>
    </row>
    <row r="40" spans="1:15" x14ac:dyDescent="0.25">
      <c r="A40" s="47">
        <v>43869</v>
      </c>
      <c r="B40" s="2">
        <v>13.26</v>
      </c>
      <c r="C40" s="2">
        <v>779.62</v>
      </c>
      <c r="D40" s="2">
        <v>1151.9000000000001</v>
      </c>
      <c r="E40" s="2">
        <v>957.82</v>
      </c>
      <c r="F40" s="2">
        <v>1.89</v>
      </c>
      <c r="G40" s="2">
        <v>13.52</v>
      </c>
      <c r="H40" s="2">
        <v>25.31</v>
      </c>
      <c r="I40" s="53">
        <v>816.03</v>
      </c>
      <c r="J40" s="2">
        <v>798.7</v>
      </c>
      <c r="K40" s="2">
        <v>578.29999999999995</v>
      </c>
      <c r="L40" s="2">
        <v>3.55</v>
      </c>
      <c r="M40" s="2">
        <v>14.68</v>
      </c>
      <c r="N40" s="2">
        <v>7.33</v>
      </c>
      <c r="O40" s="2">
        <v>1.61</v>
      </c>
    </row>
    <row r="41" spans="1:15" x14ac:dyDescent="0.25">
      <c r="A41" s="47">
        <v>43870</v>
      </c>
      <c r="B41" s="2">
        <v>44.96</v>
      </c>
      <c r="C41" s="53">
        <v>1001.49</v>
      </c>
      <c r="D41" s="2">
        <v>1208.67</v>
      </c>
      <c r="E41" s="2">
        <v>998.01</v>
      </c>
      <c r="F41" s="2">
        <v>2.41</v>
      </c>
      <c r="G41" s="2">
        <v>13.44</v>
      </c>
      <c r="H41" s="2">
        <v>25.68</v>
      </c>
      <c r="I41" s="2">
        <v>671.64</v>
      </c>
      <c r="J41" s="2">
        <v>894.62</v>
      </c>
      <c r="K41" s="2">
        <v>720.41</v>
      </c>
      <c r="L41" s="2">
        <v>3.48</v>
      </c>
      <c r="M41" s="2">
        <v>14.43</v>
      </c>
      <c r="N41" s="3" t="s">
        <v>36</v>
      </c>
      <c r="O41" s="3" t="s">
        <v>36</v>
      </c>
    </row>
    <row r="42" spans="1:15" x14ac:dyDescent="0.25">
      <c r="A42" s="47">
        <v>43871</v>
      </c>
      <c r="B42" s="2">
        <v>31.85</v>
      </c>
      <c r="C42" s="53">
        <v>1176.76</v>
      </c>
      <c r="D42" s="2">
        <v>1040.92</v>
      </c>
      <c r="E42" s="2">
        <v>997.96</v>
      </c>
      <c r="F42" s="2">
        <v>1.55</v>
      </c>
      <c r="G42" s="2">
        <v>13.62</v>
      </c>
      <c r="H42" s="2">
        <v>24.9</v>
      </c>
      <c r="I42" s="2">
        <v>700.37</v>
      </c>
      <c r="J42" s="2">
        <v>851.73</v>
      </c>
      <c r="K42" s="2">
        <v>652.95000000000005</v>
      </c>
      <c r="L42" s="2">
        <v>3.21</v>
      </c>
      <c r="M42" s="2">
        <v>14.75</v>
      </c>
      <c r="N42" s="3" t="s">
        <v>36</v>
      </c>
      <c r="O42" s="2">
        <v>7.0000000000000007E-2</v>
      </c>
    </row>
    <row r="43" spans="1:15" x14ac:dyDescent="0.25">
      <c r="A43" s="47">
        <v>43872</v>
      </c>
      <c r="B43" s="2">
        <v>31.91</v>
      </c>
      <c r="C43" s="53">
        <v>1123.56</v>
      </c>
      <c r="D43" s="2">
        <v>999.28</v>
      </c>
      <c r="E43" s="2">
        <v>1022.56</v>
      </c>
      <c r="F43" s="2">
        <v>1.31</v>
      </c>
      <c r="G43" s="2">
        <v>14</v>
      </c>
      <c r="H43" s="2">
        <v>20.67</v>
      </c>
      <c r="I43" s="2">
        <v>714.52</v>
      </c>
      <c r="J43" s="2">
        <v>799.36</v>
      </c>
      <c r="K43" s="2">
        <v>634.73</v>
      </c>
      <c r="L43" s="2">
        <v>3.57</v>
      </c>
      <c r="M43" s="2">
        <v>14.54</v>
      </c>
      <c r="N43" s="3" t="s">
        <v>36</v>
      </c>
      <c r="O43" s="2">
        <v>0.82</v>
      </c>
    </row>
    <row r="44" spans="1:15" x14ac:dyDescent="0.25">
      <c r="A44" s="47">
        <v>43873</v>
      </c>
      <c r="B44" s="2">
        <v>42.95</v>
      </c>
      <c r="C44" s="53">
        <v>876.06</v>
      </c>
      <c r="D44" s="2">
        <v>952.53</v>
      </c>
      <c r="E44" s="2">
        <v>1037.96</v>
      </c>
      <c r="F44" s="2">
        <v>3.32</v>
      </c>
      <c r="G44" s="2">
        <v>14.52</v>
      </c>
      <c r="H44" s="2">
        <v>19.87</v>
      </c>
      <c r="I44" s="2">
        <v>712.72</v>
      </c>
      <c r="J44" s="2">
        <v>849.34</v>
      </c>
      <c r="K44" s="2">
        <v>687.21</v>
      </c>
      <c r="L44" s="2">
        <v>3.6</v>
      </c>
      <c r="M44" s="2">
        <v>14.62</v>
      </c>
      <c r="N44" s="3" t="s">
        <v>36</v>
      </c>
      <c r="O44" s="2">
        <v>1.08</v>
      </c>
    </row>
    <row r="45" spans="1:15" x14ac:dyDescent="0.25">
      <c r="A45" s="47">
        <v>43874</v>
      </c>
      <c r="B45" s="2">
        <v>25.62</v>
      </c>
      <c r="C45" s="2">
        <v>790.67</v>
      </c>
      <c r="D45" s="2">
        <v>1019.77</v>
      </c>
      <c r="E45" s="2">
        <v>1022.18</v>
      </c>
      <c r="F45" s="2">
        <v>3.33</v>
      </c>
      <c r="G45" s="2">
        <v>14.18</v>
      </c>
      <c r="H45" s="2">
        <v>22.91</v>
      </c>
      <c r="I45" s="2">
        <v>703.77</v>
      </c>
      <c r="J45" s="2">
        <v>868.85</v>
      </c>
      <c r="K45" s="2">
        <v>688.32</v>
      </c>
      <c r="L45" s="2">
        <v>3.45</v>
      </c>
      <c r="M45" s="2">
        <v>14.31</v>
      </c>
      <c r="N45" s="2">
        <v>7.33</v>
      </c>
      <c r="O45" s="2">
        <v>1.29</v>
      </c>
    </row>
    <row r="46" spans="1:15" x14ac:dyDescent="0.25">
      <c r="A46" s="47">
        <v>43875</v>
      </c>
      <c r="B46" s="2">
        <v>15.14</v>
      </c>
      <c r="C46" s="53">
        <v>861.2</v>
      </c>
      <c r="D46" s="2">
        <v>1054.9100000000001</v>
      </c>
      <c r="E46" s="2">
        <v>1041.1199999999999</v>
      </c>
      <c r="F46" s="2">
        <v>5.24</v>
      </c>
      <c r="G46" s="2">
        <v>13.87</v>
      </c>
      <c r="H46" s="2">
        <v>24.35</v>
      </c>
      <c r="I46" s="2">
        <v>697.11</v>
      </c>
      <c r="J46" s="2">
        <v>869.93</v>
      </c>
      <c r="K46" s="2">
        <v>699.54</v>
      </c>
      <c r="L46" s="2">
        <v>3.12</v>
      </c>
      <c r="M46" s="2">
        <v>14.36</v>
      </c>
      <c r="N46" s="2">
        <v>7.33</v>
      </c>
      <c r="O46" s="2">
        <v>0.95</v>
      </c>
    </row>
    <row r="47" spans="1:15" x14ac:dyDescent="0.25">
      <c r="A47" s="47">
        <v>43876</v>
      </c>
      <c r="B47" s="2">
        <v>16.079999999999998</v>
      </c>
      <c r="C47" s="53">
        <v>898.48</v>
      </c>
      <c r="D47" s="2">
        <v>1092.6400000000001</v>
      </c>
      <c r="E47" s="2">
        <v>1077.95</v>
      </c>
      <c r="F47" s="2">
        <v>5.67</v>
      </c>
      <c r="G47" s="2">
        <v>13.74</v>
      </c>
      <c r="H47" s="2">
        <v>25.09</v>
      </c>
      <c r="I47" s="2">
        <v>714.53</v>
      </c>
      <c r="J47" s="2">
        <v>913.24</v>
      </c>
      <c r="K47" s="2">
        <v>746.61</v>
      </c>
      <c r="L47" s="2">
        <v>3.28</v>
      </c>
      <c r="M47" s="2">
        <v>14.2</v>
      </c>
      <c r="N47" s="2">
        <v>7.33</v>
      </c>
      <c r="O47" s="2">
        <v>1.57</v>
      </c>
    </row>
    <row r="48" spans="1:15" x14ac:dyDescent="0.25">
      <c r="A48" s="47">
        <v>43877</v>
      </c>
      <c r="B48" s="2">
        <v>19.63</v>
      </c>
      <c r="C48" s="2">
        <v>768.4</v>
      </c>
      <c r="D48" s="2">
        <v>1135.04</v>
      </c>
      <c r="E48" s="2">
        <v>1077.78</v>
      </c>
      <c r="F48" s="2">
        <v>4.8600000000000003</v>
      </c>
      <c r="G48" s="2">
        <v>13.91</v>
      </c>
      <c r="H48" s="2">
        <v>23.53</v>
      </c>
      <c r="I48" s="2">
        <v>728.19</v>
      </c>
      <c r="J48" s="2">
        <v>880.21</v>
      </c>
      <c r="K48" s="2">
        <v>747.39</v>
      </c>
      <c r="L48" s="2">
        <v>2.61</v>
      </c>
      <c r="M48" s="2">
        <v>14.42</v>
      </c>
      <c r="N48" s="3" t="s">
        <v>36</v>
      </c>
      <c r="O48" s="2">
        <v>1.62</v>
      </c>
    </row>
    <row r="49" spans="1:15" x14ac:dyDescent="0.25">
      <c r="A49" s="47">
        <v>43878</v>
      </c>
      <c r="B49" s="2">
        <v>28.08</v>
      </c>
      <c r="C49" s="2">
        <v>780.69</v>
      </c>
      <c r="D49" s="2">
        <v>1256.44</v>
      </c>
      <c r="E49" s="2">
        <v>1090.6400000000001</v>
      </c>
      <c r="F49" s="2">
        <v>4.9400000000000004</v>
      </c>
      <c r="G49" s="2">
        <v>13.19</v>
      </c>
      <c r="H49" s="2">
        <v>30.79</v>
      </c>
      <c r="I49" s="2">
        <v>763.42</v>
      </c>
      <c r="J49" s="2">
        <v>1022.55</v>
      </c>
      <c r="K49" s="2">
        <v>729.99</v>
      </c>
      <c r="L49" s="2">
        <v>2.4</v>
      </c>
      <c r="M49" s="2">
        <v>14.07</v>
      </c>
      <c r="N49" s="3" t="s">
        <v>36</v>
      </c>
      <c r="O49" s="2">
        <v>1.43</v>
      </c>
    </row>
    <row r="50" spans="1:15" x14ac:dyDescent="0.25">
      <c r="A50" s="47">
        <v>43879</v>
      </c>
      <c r="B50" s="2">
        <v>12.05</v>
      </c>
      <c r="C50" s="2">
        <v>771.61</v>
      </c>
      <c r="D50" s="2">
        <v>1206.95</v>
      </c>
      <c r="E50" s="2">
        <v>1100.51</v>
      </c>
      <c r="F50" s="2">
        <v>3.42</v>
      </c>
      <c r="G50" s="2">
        <v>14.04</v>
      </c>
      <c r="H50" s="2">
        <v>35.97</v>
      </c>
      <c r="I50" s="2">
        <v>677.47</v>
      </c>
      <c r="J50" s="2">
        <v>891.34</v>
      </c>
      <c r="K50" s="2">
        <v>762.37</v>
      </c>
      <c r="L50" s="2">
        <v>1.93</v>
      </c>
      <c r="M50" s="2">
        <v>14.54</v>
      </c>
      <c r="N50" s="3" t="s">
        <v>36</v>
      </c>
      <c r="O50" s="2">
        <v>0.1</v>
      </c>
    </row>
    <row r="51" spans="1:15" x14ac:dyDescent="0.25">
      <c r="A51" s="47">
        <v>43880</v>
      </c>
      <c r="B51" s="2">
        <v>17.61</v>
      </c>
      <c r="C51" s="2">
        <v>760.02</v>
      </c>
      <c r="D51" s="2">
        <v>1121.06</v>
      </c>
      <c r="E51" s="2">
        <v>1013.56</v>
      </c>
      <c r="F51" s="2">
        <v>4.91</v>
      </c>
      <c r="G51" s="2">
        <v>13.48</v>
      </c>
      <c r="H51" s="2">
        <v>45.43</v>
      </c>
      <c r="I51" s="2">
        <v>754.28</v>
      </c>
      <c r="J51" s="2">
        <v>970.96</v>
      </c>
      <c r="K51" s="2">
        <v>740.9</v>
      </c>
      <c r="L51" s="2">
        <v>2.56</v>
      </c>
      <c r="M51" s="2">
        <v>14.28</v>
      </c>
      <c r="N51" s="3" t="s">
        <v>36</v>
      </c>
      <c r="O51" s="2">
        <v>0.15</v>
      </c>
    </row>
    <row r="52" spans="1:15" x14ac:dyDescent="0.25">
      <c r="A52" s="47">
        <v>43881</v>
      </c>
      <c r="B52" s="3" t="s">
        <v>70</v>
      </c>
      <c r="C52" s="3" t="s">
        <v>70</v>
      </c>
      <c r="D52" s="3" t="s">
        <v>70</v>
      </c>
      <c r="E52" s="3" t="s">
        <v>70</v>
      </c>
      <c r="F52" s="3" t="s">
        <v>70</v>
      </c>
      <c r="G52" s="2">
        <v>13.76</v>
      </c>
      <c r="H52" s="53">
        <v>57.69</v>
      </c>
      <c r="I52" s="2">
        <v>767.83</v>
      </c>
      <c r="J52" s="2">
        <v>1053.31</v>
      </c>
      <c r="K52" s="2">
        <v>671.71</v>
      </c>
      <c r="L52" s="2">
        <v>1.91</v>
      </c>
      <c r="M52" s="2">
        <v>13.83</v>
      </c>
      <c r="N52" s="2">
        <v>7.33</v>
      </c>
      <c r="O52" s="2">
        <v>1.39</v>
      </c>
    </row>
    <row r="53" spans="1:15" x14ac:dyDescent="0.25">
      <c r="A53" s="47">
        <v>43882</v>
      </c>
      <c r="B53" s="2">
        <v>15.72</v>
      </c>
      <c r="C53" s="2">
        <v>781.68</v>
      </c>
      <c r="D53" s="2">
        <v>1368.67</v>
      </c>
      <c r="E53" s="2">
        <v>1184.1600000000001</v>
      </c>
      <c r="F53" s="2">
        <v>4.3600000000000003</v>
      </c>
      <c r="G53" s="2">
        <v>14.58</v>
      </c>
      <c r="H53" s="53">
        <v>50.52</v>
      </c>
      <c r="I53" s="2">
        <v>736.2</v>
      </c>
      <c r="J53" s="2">
        <v>895.08</v>
      </c>
      <c r="K53" s="2">
        <v>670.64</v>
      </c>
      <c r="L53" s="2">
        <v>2.13</v>
      </c>
      <c r="M53" s="2">
        <v>14.3</v>
      </c>
      <c r="N53" s="2">
        <v>7.33</v>
      </c>
      <c r="O53" s="2">
        <v>1.42</v>
      </c>
    </row>
    <row r="54" spans="1:15" x14ac:dyDescent="0.25">
      <c r="A54" s="47">
        <v>43883</v>
      </c>
      <c r="B54" s="2">
        <v>9.1300000000000008</v>
      </c>
      <c r="C54" s="2">
        <v>779.85</v>
      </c>
      <c r="D54" s="2">
        <v>1358.33</v>
      </c>
      <c r="E54" s="2">
        <v>1130.3499999999999</v>
      </c>
      <c r="F54" s="2">
        <v>3.67</v>
      </c>
      <c r="G54" s="2">
        <v>14.39</v>
      </c>
      <c r="H54" s="53">
        <v>59.42</v>
      </c>
      <c r="I54" s="2">
        <v>707.23</v>
      </c>
      <c r="J54" s="2">
        <v>1065.94</v>
      </c>
      <c r="K54" s="2">
        <v>801.55</v>
      </c>
      <c r="L54" s="2">
        <v>2.02</v>
      </c>
      <c r="M54" s="2">
        <v>14.23</v>
      </c>
      <c r="N54" s="2">
        <v>7.33</v>
      </c>
      <c r="O54" s="2">
        <v>1.62</v>
      </c>
    </row>
    <row r="55" spans="1:15" x14ac:dyDescent="0.25">
      <c r="A55" s="47">
        <v>43884</v>
      </c>
      <c r="B55" s="53">
        <v>52.82</v>
      </c>
      <c r="C55" s="2">
        <v>780.23</v>
      </c>
      <c r="D55" s="2">
        <v>1369.91</v>
      </c>
      <c r="E55" s="2">
        <v>1133.9000000000001</v>
      </c>
      <c r="F55" s="2">
        <v>4.74</v>
      </c>
      <c r="G55" s="2">
        <v>13.33</v>
      </c>
      <c r="H55" s="53">
        <v>51.28</v>
      </c>
      <c r="I55" s="2">
        <v>717.27</v>
      </c>
      <c r="J55" s="2">
        <v>977.15</v>
      </c>
      <c r="K55" s="2">
        <v>835.76</v>
      </c>
      <c r="L55" s="2">
        <v>2.3199999999999998</v>
      </c>
      <c r="M55" s="2">
        <v>14.38</v>
      </c>
      <c r="N55" s="3" t="s">
        <v>36</v>
      </c>
      <c r="O55" s="3" t="s">
        <v>36</v>
      </c>
    </row>
    <row r="56" spans="1:15" x14ac:dyDescent="0.25">
      <c r="A56" s="47">
        <v>43885</v>
      </c>
      <c r="B56" s="2">
        <v>40.159999999999997</v>
      </c>
      <c r="C56" s="2">
        <v>791.29</v>
      </c>
      <c r="D56" s="2">
        <v>1265.8900000000001</v>
      </c>
      <c r="E56" s="2">
        <v>1160.1300000000001</v>
      </c>
      <c r="F56" s="2">
        <v>4.13</v>
      </c>
      <c r="G56" s="2">
        <v>13.87</v>
      </c>
      <c r="H56" s="53">
        <v>61.36</v>
      </c>
      <c r="I56" s="2">
        <v>622.49</v>
      </c>
      <c r="J56" s="2">
        <v>966.81</v>
      </c>
      <c r="K56" s="2">
        <v>805.71</v>
      </c>
      <c r="L56" s="2">
        <v>1.88</v>
      </c>
      <c r="M56" s="2">
        <v>14.52</v>
      </c>
      <c r="N56" s="3" t="s">
        <v>36</v>
      </c>
      <c r="O56" s="3" t="s">
        <v>36</v>
      </c>
    </row>
    <row r="57" spans="1:15" x14ac:dyDescent="0.25">
      <c r="A57" s="47">
        <v>43886</v>
      </c>
      <c r="B57" s="2">
        <v>23.82</v>
      </c>
      <c r="C57" s="2">
        <v>779.53</v>
      </c>
      <c r="D57" s="2">
        <v>1217.02</v>
      </c>
      <c r="E57" s="2">
        <v>1071.5999999999999</v>
      </c>
      <c r="F57" s="2">
        <v>1.84</v>
      </c>
      <c r="G57" s="2">
        <v>13.94</v>
      </c>
      <c r="H57" s="53">
        <v>55.62</v>
      </c>
      <c r="I57" s="2">
        <v>584.79</v>
      </c>
      <c r="J57" s="2">
        <v>954.62</v>
      </c>
      <c r="K57" s="2">
        <v>764.38</v>
      </c>
      <c r="L57" s="2">
        <v>1.7</v>
      </c>
      <c r="M57" s="2">
        <v>14.07</v>
      </c>
      <c r="N57" s="3" t="s">
        <v>36</v>
      </c>
      <c r="O57" s="3" t="s">
        <v>36</v>
      </c>
    </row>
    <row r="58" spans="1:15" x14ac:dyDescent="0.25">
      <c r="A58" s="47">
        <v>43887</v>
      </c>
      <c r="B58" s="2">
        <v>43.91</v>
      </c>
      <c r="C58" s="2">
        <v>771.58</v>
      </c>
      <c r="D58" s="2">
        <v>1202.52</v>
      </c>
      <c r="E58" s="2">
        <v>1056.5999999999999</v>
      </c>
      <c r="F58" s="2">
        <v>1.46</v>
      </c>
      <c r="G58" s="2">
        <v>13.13</v>
      </c>
      <c r="H58" s="53">
        <v>57.74</v>
      </c>
      <c r="I58" s="2">
        <v>779.54</v>
      </c>
      <c r="J58" s="2">
        <v>996.77</v>
      </c>
      <c r="K58" s="2">
        <v>766.92</v>
      </c>
      <c r="L58" s="2">
        <v>1.91</v>
      </c>
      <c r="M58" s="2">
        <v>14.63</v>
      </c>
      <c r="N58" s="2">
        <v>7.33</v>
      </c>
      <c r="O58" s="3" t="s">
        <v>36</v>
      </c>
    </row>
    <row r="59" spans="1:15" x14ac:dyDescent="0.25">
      <c r="A59" s="47">
        <v>43888</v>
      </c>
      <c r="B59" s="2">
        <v>45.15</v>
      </c>
      <c r="C59" s="2">
        <v>728.22</v>
      </c>
      <c r="D59" s="2">
        <v>1268.3900000000001</v>
      </c>
      <c r="E59" s="2">
        <v>1108.8599999999999</v>
      </c>
      <c r="F59" s="2">
        <v>2.2200000000000002</v>
      </c>
      <c r="G59" s="2">
        <v>13.65</v>
      </c>
      <c r="H59" s="2">
        <v>45.34</v>
      </c>
      <c r="I59" s="2">
        <v>708.65</v>
      </c>
      <c r="J59" s="2">
        <v>1055.1199999999999</v>
      </c>
      <c r="K59" s="2">
        <v>795.82</v>
      </c>
      <c r="L59" s="2">
        <v>1.62</v>
      </c>
      <c r="M59" s="2">
        <v>14.61</v>
      </c>
      <c r="N59" s="2">
        <v>7.33</v>
      </c>
      <c r="O59" s="2">
        <v>39.19</v>
      </c>
    </row>
    <row r="60" spans="1:15" x14ac:dyDescent="0.25">
      <c r="A60" s="47">
        <v>43889</v>
      </c>
      <c r="B60" s="2">
        <v>18.46</v>
      </c>
      <c r="C60" s="2">
        <v>780.16</v>
      </c>
      <c r="D60" s="2">
        <v>1214.1600000000001</v>
      </c>
      <c r="E60" s="2">
        <v>1043.93</v>
      </c>
      <c r="F60" s="2">
        <v>2.0499999999999998</v>
      </c>
      <c r="G60" s="2">
        <v>14.27</v>
      </c>
      <c r="H60" s="2">
        <v>33.76</v>
      </c>
      <c r="I60" s="2">
        <v>714.61</v>
      </c>
      <c r="J60" s="2">
        <v>1107.78</v>
      </c>
      <c r="K60" s="2">
        <v>822.74</v>
      </c>
      <c r="L60" s="2">
        <v>1.39</v>
      </c>
      <c r="M60" s="2">
        <v>14.37</v>
      </c>
      <c r="N60" s="2">
        <v>7.33</v>
      </c>
      <c r="O60" s="53">
        <v>58.99</v>
      </c>
    </row>
    <row r="61" spans="1:15" x14ac:dyDescent="0.25">
      <c r="A61" s="47">
        <v>43890</v>
      </c>
      <c r="B61" s="2">
        <v>30.22</v>
      </c>
      <c r="C61" s="2">
        <v>671.04</v>
      </c>
      <c r="D61" s="2">
        <v>982.05</v>
      </c>
      <c r="E61" s="2">
        <v>953.04</v>
      </c>
      <c r="F61" s="2">
        <v>2.62</v>
      </c>
      <c r="G61" s="2">
        <v>13.42</v>
      </c>
      <c r="H61" s="2">
        <v>24.04</v>
      </c>
      <c r="I61" s="53">
        <v>803.18</v>
      </c>
      <c r="J61" s="2">
        <v>995.17</v>
      </c>
      <c r="K61" s="2">
        <v>747.65</v>
      </c>
      <c r="L61" s="2">
        <v>1.58</v>
      </c>
      <c r="M61" s="2">
        <v>14.56</v>
      </c>
      <c r="N61" s="2">
        <v>7.33</v>
      </c>
      <c r="O61" s="53">
        <v>101.61</v>
      </c>
    </row>
    <row r="62" spans="1:15" x14ac:dyDescent="0.25">
      <c r="A62" s="47">
        <v>43891</v>
      </c>
      <c r="B62" s="2">
        <v>6.34</v>
      </c>
      <c r="C62" s="2">
        <v>780.22</v>
      </c>
      <c r="D62" s="2">
        <v>1037.05</v>
      </c>
      <c r="E62" s="2">
        <v>886.36</v>
      </c>
      <c r="F62" s="2">
        <v>1.76</v>
      </c>
      <c r="G62" s="2">
        <v>14.31</v>
      </c>
      <c r="H62" s="2">
        <v>18.29</v>
      </c>
      <c r="I62" s="53">
        <v>970.63</v>
      </c>
      <c r="J62" s="2">
        <v>885.63</v>
      </c>
      <c r="K62" s="2">
        <v>572.94000000000005</v>
      </c>
      <c r="L62" s="2">
        <v>1.39</v>
      </c>
      <c r="M62" s="2">
        <v>14.47</v>
      </c>
      <c r="N62" s="3" t="s">
        <v>36</v>
      </c>
      <c r="O62" s="53">
        <v>101.14</v>
      </c>
    </row>
    <row r="63" spans="1:15" x14ac:dyDescent="0.25">
      <c r="A63" s="47">
        <v>43892</v>
      </c>
      <c r="B63" s="2">
        <v>30.08</v>
      </c>
      <c r="C63" s="2">
        <v>779.42</v>
      </c>
      <c r="D63" s="2">
        <v>1052.55</v>
      </c>
      <c r="E63" s="2">
        <v>902.33</v>
      </c>
      <c r="F63" s="2">
        <v>2.08</v>
      </c>
      <c r="G63" s="2">
        <v>13.59</v>
      </c>
      <c r="H63" s="2">
        <v>23.44</v>
      </c>
      <c r="I63" s="2">
        <v>686.05</v>
      </c>
      <c r="J63" s="2">
        <v>911.74</v>
      </c>
      <c r="K63" s="2">
        <v>634.37</v>
      </c>
      <c r="L63" s="2">
        <v>1.43</v>
      </c>
      <c r="M63" s="2">
        <v>14.44</v>
      </c>
      <c r="N63" s="3" t="s">
        <v>36</v>
      </c>
      <c r="O63" s="53">
        <v>87.94</v>
      </c>
    </row>
    <row r="64" spans="1:15" x14ac:dyDescent="0.25">
      <c r="A64" s="47">
        <v>43893</v>
      </c>
      <c r="B64" s="2">
        <v>15.59</v>
      </c>
      <c r="C64" s="2">
        <v>776.23</v>
      </c>
      <c r="D64" s="2">
        <v>1019.42</v>
      </c>
      <c r="E64" s="2">
        <v>921.84</v>
      </c>
      <c r="F64" s="2">
        <v>2.91</v>
      </c>
      <c r="G64" s="2">
        <v>13.68</v>
      </c>
      <c r="H64" s="2">
        <v>25.13</v>
      </c>
      <c r="I64" s="2">
        <v>726.11</v>
      </c>
      <c r="J64" s="2">
        <v>955.56</v>
      </c>
      <c r="K64" s="2">
        <v>567.08000000000004</v>
      </c>
      <c r="L64" s="2">
        <v>1.4</v>
      </c>
      <c r="M64" s="2">
        <v>14.23</v>
      </c>
      <c r="N64" s="3" t="s">
        <v>36</v>
      </c>
      <c r="O64" s="53">
        <v>76.75</v>
      </c>
    </row>
    <row r="65" spans="1:15" x14ac:dyDescent="0.25">
      <c r="A65" s="47">
        <v>43894</v>
      </c>
      <c r="B65" s="2">
        <v>11.67</v>
      </c>
      <c r="C65" s="2">
        <v>779.86</v>
      </c>
      <c r="D65" s="2">
        <v>1017.41</v>
      </c>
      <c r="E65" s="2">
        <v>987.88</v>
      </c>
      <c r="F65" s="2">
        <v>2.73</v>
      </c>
      <c r="G65" s="2">
        <v>14.13</v>
      </c>
      <c r="H65" s="2">
        <v>25.42</v>
      </c>
      <c r="I65" s="2">
        <v>647.71</v>
      </c>
      <c r="J65" s="2">
        <v>892.84</v>
      </c>
      <c r="K65" s="2">
        <v>633.1</v>
      </c>
      <c r="L65" s="2">
        <v>1.37</v>
      </c>
      <c r="M65" s="2">
        <v>14.5</v>
      </c>
      <c r="N65" s="2">
        <v>7.33</v>
      </c>
      <c r="O65" s="53">
        <v>83.68</v>
      </c>
    </row>
    <row r="66" spans="1:15" x14ac:dyDescent="0.25">
      <c r="A66" s="47">
        <v>43895</v>
      </c>
      <c r="B66" s="2">
        <v>22.49</v>
      </c>
      <c r="C66" s="2">
        <v>782.3</v>
      </c>
      <c r="D66" s="2">
        <v>931.88</v>
      </c>
      <c r="E66" s="2">
        <v>932.23</v>
      </c>
      <c r="F66" s="2">
        <v>0.86</v>
      </c>
      <c r="G66" s="2">
        <v>14.55</v>
      </c>
      <c r="H66" s="2">
        <v>24.8</v>
      </c>
      <c r="I66" s="2">
        <v>651.29999999999995</v>
      </c>
      <c r="J66" s="2">
        <v>860.42</v>
      </c>
      <c r="K66" s="2">
        <v>587.04999999999995</v>
      </c>
      <c r="L66" s="2">
        <v>1.26</v>
      </c>
      <c r="M66" s="2">
        <v>14.73</v>
      </c>
      <c r="N66" s="2">
        <v>7.33</v>
      </c>
      <c r="O66" s="53">
        <v>98.05</v>
      </c>
    </row>
    <row r="67" spans="1:15" x14ac:dyDescent="0.25">
      <c r="A67" s="47">
        <v>43896</v>
      </c>
      <c r="B67" s="2">
        <v>18.36</v>
      </c>
      <c r="C67" s="2">
        <v>785.52</v>
      </c>
      <c r="D67" s="2">
        <v>971.44</v>
      </c>
      <c r="E67" s="2">
        <v>849.82</v>
      </c>
      <c r="F67" s="2">
        <v>1.96</v>
      </c>
      <c r="G67" s="2">
        <v>14.08</v>
      </c>
      <c r="H67" s="2">
        <v>29.25</v>
      </c>
      <c r="I67" s="2">
        <v>778.92</v>
      </c>
      <c r="J67" s="2">
        <v>971.69</v>
      </c>
      <c r="K67" s="2">
        <v>725.41</v>
      </c>
      <c r="L67" s="2">
        <v>1.66</v>
      </c>
      <c r="M67" s="2">
        <v>15.29</v>
      </c>
      <c r="N67" s="2">
        <v>7.33</v>
      </c>
      <c r="O67" s="53">
        <v>92.74</v>
      </c>
    </row>
    <row r="68" spans="1:15" x14ac:dyDescent="0.25">
      <c r="A68" s="47">
        <v>43897</v>
      </c>
      <c r="B68" s="2">
        <v>10.24</v>
      </c>
      <c r="C68" s="2">
        <v>784.57</v>
      </c>
      <c r="D68" s="2">
        <v>1040.75</v>
      </c>
      <c r="E68" s="2">
        <v>858.97</v>
      </c>
      <c r="F68" s="2">
        <v>1.59</v>
      </c>
      <c r="G68" s="2">
        <v>14.1</v>
      </c>
      <c r="H68" s="2">
        <v>26.13</v>
      </c>
      <c r="I68" s="2">
        <v>792.88</v>
      </c>
      <c r="J68" s="2">
        <v>936.32</v>
      </c>
      <c r="K68" s="2">
        <v>677.84</v>
      </c>
      <c r="L68" s="2">
        <v>1.59</v>
      </c>
      <c r="M68" s="2">
        <v>15.41</v>
      </c>
      <c r="N68" s="2">
        <v>7.33</v>
      </c>
      <c r="O68" s="53">
        <v>90.47</v>
      </c>
    </row>
    <row r="69" spans="1:15" x14ac:dyDescent="0.25">
      <c r="A69" s="47">
        <v>43898</v>
      </c>
      <c r="B69" s="2">
        <v>15.08</v>
      </c>
      <c r="C69" s="2">
        <v>785.06</v>
      </c>
      <c r="D69" s="2">
        <v>920.49</v>
      </c>
      <c r="E69" s="2">
        <v>843.97</v>
      </c>
      <c r="F69" s="2">
        <v>2.33</v>
      </c>
      <c r="G69" s="2">
        <v>14.59</v>
      </c>
      <c r="H69" s="2">
        <v>24.71</v>
      </c>
      <c r="I69" s="2">
        <v>791.58</v>
      </c>
      <c r="J69" s="2">
        <v>860</v>
      </c>
      <c r="K69" s="2">
        <v>723.45</v>
      </c>
      <c r="L69" s="2">
        <v>1.63</v>
      </c>
      <c r="M69" s="2">
        <v>15.72</v>
      </c>
      <c r="N69" s="3" t="s">
        <v>36</v>
      </c>
      <c r="O69" s="53">
        <v>101.3</v>
      </c>
    </row>
    <row r="70" spans="1:15" x14ac:dyDescent="0.25">
      <c r="A70" s="47">
        <v>43899</v>
      </c>
      <c r="B70" s="2">
        <v>12.02</v>
      </c>
      <c r="C70" s="2">
        <v>780.22</v>
      </c>
      <c r="D70" s="2">
        <v>982.34</v>
      </c>
      <c r="E70" s="2">
        <v>906.18</v>
      </c>
      <c r="F70" s="2">
        <v>2.23</v>
      </c>
      <c r="G70" s="2">
        <v>14.38</v>
      </c>
      <c r="H70" s="2">
        <v>33.35</v>
      </c>
      <c r="I70" s="2">
        <v>770.13</v>
      </c>
      <c r="J70" s="2">
        <v>978.65</v>
      </c>
      <c r="K70" s="2">
        <v>750.01</v>
      </c>
      <c r="L70" s="2">
        <v>1.4</v>
      </c>
      <c r="M70" s="2">
        <v>14.83</v>
      </c>
      <c r="N70" s="2">
        <v>7.33</v>
      </c>
      <c r="O70" s="53">
        <v>102.02</v>
      </c>
    </row>
    <row r="71" spans="1:15" x14ac:dyDescent="0.25">
      <c r="A71" s="47">
        <v>43900</v>
      </c>
      <c r="B71" s="2">
        <v>35.39</v>
      </c>
      <c r="C71" s="2">
        <v>783.71</v>
      </c>
      <c r="D71" s="2">
        <v>1067.54</v>
      </c>
      <c r="E71" s="2">
        <v>922.98</v>
      </c>
      <c r="F71" s="2">
        <v>1.45</v>
      </c>
      <c r="G71" s="2">
        <v>13.7</v>
      </c>
      <c r="H71" s="53">
        <v>50.43</v>
      </c>
      <c r="I71" s="2">
        <v>786.44</v>
      </c>
      <c r="J71" s="2">
        <v>1062.6099999999999</v>
      </c>
      <c r="K71" s="2">
        <v>734.41</v>
      </c>
      <c r="L71" s="2">
        <v>1.35</v>
      </c>
      <c r="M71" s="2">
        <v>14.94</v>
      </c>
      <c r="N71" s="2">
        <v>7.33</v>
      </c>
      <c r="O71" s="2">
        <v>0.1</v>
      </c>
    </row>
    <row r="72" spans="1:15" x14ac:dyDescent="0.25">
      <c r="A72" s="47">
        <v>43901</v>
      </c>
      <c r="B72" s="2">
        <v>20.6</v>
      </c>
      <c r="C72" s="53">
        <v>812.67</v>
      </c>
      <c r="D72" s="2">
        <v>1098.97</v>
      </c>
      <c r="E72" s="2">
        <v>903.96</v>
      </c>
      <c r="F72" s="2">
        <v>1.28</v>
      </c>
      <c r="G72" s="2">
        <v>13.95</v>
      </c>
      <c r="H72" s="2">
        <v>36.99</v>
      </c>
      <c r="I72" s="2">
        <v>770.43</v>
      </c>
      <c r="J72" s="2">
        <v>1234.8699999999999</v>
      </c>
      <c r="K72" s="2">
        <v>804.77</v>
      </c>
      <c r="L72" s="2">
        <v>1.87</v>
      </c>
      <c r="M72" s="2">
        <v>14.97</v>
      </c>
      <c r="N72" s="2">
        <v>7.33</v>
      </c>
      <c r="O72" s="53">
        <v>53.04</v>
      </c>
    </row>
    <row r="73" spans="1:15" x14ac:dyDescent="0.25">
      <c r="A73" s="47">
        <v>43902</v>
      </c>
      <c r="B73" s="2">
        <v>13.93</v>
      </c>
      <c r="C73" s="2">
        <v>783.59</v>
      </c>
      <c r="D73" s="2">
        <v>1196.1600000000001</v>
      </c>
      <c r="E73" s="2">
        <v>986.93</v>
      </c>
      <c r="F73" s="2">
        <v>0.94</v>
      </c>
      <c r="G73" s="2">
        <v>13.95</v>
      </c>
      <c r="H73" s="3" t="s">
        <v>36</v>
      </c>
      <c r="I73" s="3" t="s">
        <v>36</v>
      </c>
      <c r="J73" s="3" t="s">
        <v>36</v>
      </c>
      <c r="K73" s="3" t="s">
        <v>36</v>
      </c>
      <c r="L73" s="3" t="s">
        <v>36</v>
      </c>
      <c r="M73" s="3" t="s">
        <v>36</v>
      </c>
      <c r="N73" s="2">
        <v>7.33</v>
      </c>
      <c r="O73" s="53">
        <v>52.13</v>
      </c>
    </row>
    <row r="74" spans="1:15" x14ac:dyDescent="0.25">
      <c r="A74" s="47">
        <v>43903</v>
      </c>
      <c r="B74" s="2">
        <v>19.43</v>
      </c>
      <c r="C74" s="2">
        <v>786</v>
      </c>
      <c r="D74" s="2">
        <v>1238.6099999999999</v>
      </c>
      <c r="E74" s="2">
        <v>1005.62</v>
      </c>
      <c r="F74" s="2">
        <v>1.05</v>
      </c>
      <c r="G74" s="2">
        <v>14.29</v>
      </c>
      <c r="H74" s="3" t="s">
        <v>36</v>
      </c>
      <c r="I74" s="3" t="s">
        <v>36</v>
      </c>
      <c r="J74" s="3" t="s">
        <v>36</v>
      </c>
      <c r="K74" s="3" t="s">
        <v>36</v>
      </c>
      <c r="L74" s="3" t="s">
        <v>36</v>
      </c>
      <c r="M74" s="3" t="s">
        <v>36</v>
      </c>
      <c r="N74" s="2">
        <v>7.33</v>
      </c>
      <c r="O74" s="53">
        <v>61.22</v>
      </c>
    </row>
    <row r="75" spans="1:15" x14ac:dyDescent="0.25">
      <c r="A75" s="47">
        <v>43904</v>
      </c>
      <c r="B75" s="2">
        <v>22.38</v>
      </c>
      <c r="C75" s="53">
        <v>975.78</v>
      </c>
      <c r="D75" s="2">
        <v>1154.1500000000001</v>
      </c>
      <c r="E75" s="2">
        <v>1010.07</v>
      </c>
      <c r="F75" s="2">
        <v>1.01</v>
      </c>
      <c r="G75" s="2">
        <v>14.54</v>
      </c>
      <c r="H75" s="3" t="s">
        <v>36</v>
      </c>
      <c r="I75" s="3" t="s">
        <v>36</v>
      </c>
      <c r="J75" s="3" t="s">
        <v>36</v>
      </c>
      <c r="K75" s="3" t="s">
        <v>36</v>
      </c>
      <c r="L75" s="3" t="s">
        <v>36</v>
      </c>
      <c r="M75" s="3" t="s">
        <v>36</v>
      </c>
      <c r="N75" s="2">
        <v>7.33</v>
      </c>
      <c r="O75" s="2">
        <v>47.3</v>
      </c>
    </row>
    <row r="76" spans="1:15" x14ac:dyDescent="0.25">
      <c r="A76" s="47">
        <v>43905</v>
      </c>
      <c r="B76" s="2">
        <v>6.67</v>
      </c>
      <c r="C76" s="2">
        <v>783.89</v>
      </c>
      <c r="D76" s="2">
        <v>1104.23</v>
      </c>
      <c r="E76" s="2">
        <v>971.54</v>
      </c>
      <c r="F76" s="2">
        <v>1.02</v>
      </c>
      <c r="G76" s="2">
        <v>14.59</v>
      </c>
      <c r="H76" s="3" t="s">
        <v>36</v>
      </c>
      <c r="I76" s="3" t="s">
        <v>36</v>
      </c>
      <c r="J76" s="3" t="s">
        <v>36</v>
      </c>
      <c r="K76" s="3" t="s">
        <v>36</v>
      </c>
      <c r="L76" s="3" t="s">
        <v>36</v>
      </c>
      <c r="M76" s="3" t="s">
        <v>36</v>
      </c>
      <c r="N76" s="3" t="s">
        <v>36</v>
      </c>
      <c r="O76" s="2">
        <v>0.06</v>
      </c>
    </row>
    <row r="77" spans="1:15" x14ac:dyDescent="0.25">
      <c r="A77" s="47">
        <v>43906</v>
      </c>
      <c r="B77" s="2">
        <v>26.69</v>
      </c>
      <c r="C77" s="3" t="s">
        <v>70</v>
      </c>
      <c r="D77" s="2">
        <v>1263.73</v>
      </c>
      <c r="E77" s="2">
        <v>968.38</v>
      </c>
      <c r="F77" s="2">
        <v>0.82</v>
      </c>
      <c r="G77" s="2">
        <v>14.35</v>
      </c>
      <c r="H77" s="3" t="s">
        <v>36</v>
      </c>
      <c r="I77" s="3" t="s">
        <v>36</v>
      </c>
      <c r="J77" s="3" t="s">
        <v>36</v>
      </c>
      <c r="K77" s="3" t="s">
        <v>36</v>
      </c>
      <c r="L77" s="3" t="s">
        <v>36</v>
      </c>
      <c r="M77" s="3" t="s">
        <v>36</v>
      </c>
      <c r="N77" s="3" t="s">
        <v>36</v>
      </c>
      <c r="O77" s="2">
        <v>25.25</v>
      </c>
    </row>
    <row r="78" spans="1:15" x14ac:dyDescent="0.25">
      <c r="A78" s="47">
        <v>43907</v>
      </c>
      <c r="B78" s="2">
        <v>21.69</v>
      </c>
      <c r="C78" s="2">
        <v>798.31</v>
      </c>
      <c r="D78" s="2">
        <v>1209.76</v>
      </c>
      <c r="E78" s="2">
        <v>1024.75</v>
      </c>
      <c r="F78" s="2">
        <v>0.69</v>
      </c>
      <c r="G78" s="2">
        <v>14.41</v>
      </c>
      <c r="H78" s="3" t="s">
        <v>36</v>
      </c>
      <c r="I78" s="3" t="s">
        <v>36</v>
      </c>
      <c r="J78" s="3" t="s">
        <v>36</v>
      </c>
      <c r="K78" s="3" t="s">
        <v>36</v>
      </c>
      <c r="L78" s="3" t="s">
        <v>36</v>
      </c>
      <c r="M78" s="3" t="s">
        <v>36</v>
      </c>
      <c r="N78" s="3" t="s">
        <v>36</v>
      </c>
      <c r="O78" s="2">
        <v>46.21</v>
      </c>
    </row>
    <row r="79" spans="1:15" x14ac:dyDescent="0.25">
      <c r="A79" s="47">
        <v>43908</v>
      </c>
      <c r="B79" s="2">
        <v>9.9</v>
      </c>
      <c r="C79" s="2">
        <v>796.09</v>
      </c>
      <c r="D79" s="2">
        <v>1057.69</v>
      </c>
      <c r="E79" s="2">
        <v>1024.9100000000001</v>
      </c>
      <c r="F79" s="2">
        <v>0.67</v>
      </c>
      <c r="G79" s="2">
        <v>14.44</v>
      </c>
      <c r="H79" s="3" t="s">
        <v>36</v>
      </c>
      <c r="I79" s="3" t="s">
        <v>36</v>
      </c>
      <c r="J79" s="3" t="s">
        <v>36</v>
      </c>
      <c r="K79" s="3" t="s">
        <v>36</v>
      </c>
      <c r="L79" s="3" t="s">
        <v>36</v>
      </c>
      <c r="M79" s="3" t="s">
        <v>36</v>
      </c>
      <c r="N79" s="3" t="s">
        <v>36</v>
      </c>
      <c r="O79" s="53">
        <v>70.790000000000006</v>
      </c>
    </row>
    <row r="80" spans="1:15" x14ac:dyDescent="0.25">
      <c r="A80" s="47">
        <v>43909</v>
      </c>
      <c r="B80" s="2">
        <v>11.5</v>
      </c>
      <c r="C80" s="2">
        <v>781.99</v>
      </c>
      <c r="D80" s="2">
        <v>1012</v>
      </c>
      <c r="E80" s="2">
        <v>973.71</v>
      </c>
      <c r="F80" s="2">
        <v>0.89</v>
      </c>
      <c r="G80" s="2">
        <v>14.4</v>
      </c>
      <c r="H80" s="3" t="s">
        <v>36</v>
      </c>
      <c r="I80" s="3" t="s">
        <v>36</v>
      </c>
      <c r="J80" s="3" t="s">
        <v>36</v>
      </c>
      <c r="K80" s="3" t="s">
        <v>36</v>
      </c>
      <c r="L80" s="3" t="s">
        <v>36</v>
      </c>
      <c r="M80" s="3" t="s">
        <v>36</v>
      </c>
      <c r="N80" s="3" t="s">
        <v>36</v>
      </c>
      <c r="O80" s="2">
        <v>9.5399999999999991</v>
      </c>
    </row>
    <row r="81" spans="1:15" x14ac:dyDescent="0.25">
      <c r="A81" s="47">
        <v>43910</v>
      </c>
      <c r="B81" s="2">
        <v>27.67</v>
      </c>
      <c r="C81" s="53">
        <v>808.68</v>
      </c>
      <c r="D81" s="2">
        <v>973.6</v>
      </c>
      <c r="E81" s="2">
        <v>953.8</v>
      </c>
      <c r="F81" s="2">
        <v>0.85</v>
      </c>
      <c r="G81" s="2">
        <v>14.13</v>
      </c>
      <c r="H81" s="3" t="s">
        <v>36</v>
      </c>
      <c r="I81" s="3" t="s">
        <v>36</v>
      </c>
      <c r="J81" s="3" t="s">
        <v>36</v>
      </c>
      <c r="K81" s="3" t="s">
        <v>36</v>
      </c>
      <c r="L81" s="3" t="s">
        <v>36</v>
      </c>
      <c r="M81" s="3" t="s">
        <v>36</v>
      </c>
      <c r="N81" s="3" t="s">
        <v>36</v>
      </c>
      <c r="O81" s="2">
        <v>0.65</v>
      </c>
    </row>
    <row r="82" spans="1:15" x14ac:dyDescent="0.25">
      <c r="A82" s="47">
        <v>43911</v>
      </c>
      <c r="B82" s="2">
        <v>28.41</v>
      </c>
      <c r="C82" s="2">
        <v>734.9</v>
      </c>
      <c r="D82" s="2">
        <v>964.2</v>
      </c>
      <c r="E82" s="2">
        <v>978.17</v>
      </c>
      <c r="F82" s="2">
        <v>0.86</v>
      </c>
      <c r="G82" s="2">
        <v>13.89</v>
      </c>
      <c r="H82" s="3" t="s">
        <v>36</v>
      </c>
      <c r="I82" s="3" t="s">
        <v>36</v>
      </c>
      <c r="J82" s="3" t="s">
        <v>36</v>
      </c>
      <c r="K82" s="3" t="s">
        <v>36</v>
      </c>
      <c r="L82" s="3" t="s">
        <v>36</v>
      </c>
      <c r="M82" s="3" t="s">
        <v>36</v>
      </c>
      <c r="N82" s="3" t="s">
        <v>36</v>
      </c>
      <c r="O82" s="53">
        <v>59.86</v>
      </c>
    </row>
    <row r="83" spans="1:15" x14ac:dyDescent="0.25">
      <c r="A83" s="47">
        <v>43912</v>
      </c>
      <c r="B83" s="2">
        <v>7.75</v>
      </c>
      <c r="C83" s="2">
        <v>750.32</v>
      </c>
      <c r="D83" s="2">
        <v>873.03</v>
      </c>
      <c r="E83" s="2">
        <v>998.8</v>
      </c>
      <c r="F83" s="2">
        <v>0.99</v>
      </c>
      <c r="G83" s="2">
        <v>14.42</v>
      </c>
      <c r="H83" s="3" t="s">
        <v>36</v>
      </c>
      <c r="I83" s="3" t="s">
        <v>36</v>
      </c>
      <c r="J83" s="3" t="s">
        <v>36</v>
      </c>
      <c r="K83" s="3" t="s">
        <v>36</v>
      </c>
      <c r="L83" s="3" t="s">
        <v>36</v>
      </c>
      <c r="M83" s="3" t="s">
        <v>36</v>
      </c>
      <c r="N83" s="3" t="s">
        <v>36</v>
      </c>
      <c r="O83" s="53">
        <v>61.12</v>
      </c>
    </row>
    <row r="84" spans="1:15" x14ac:dyDescent="0.25">
      <c r="A84" s="47">
        <v>43913</v>
      </c>
      <c r="B84" s="2">
        <v>40.99</v>
      </c>
      <c r="C84" s="2">
        <v>792.07</v>
      </c>
      <c r="D84" s="2">
        <v>887</v>
      </c>
      <c r="E84" s="2">
        <v>986.69</v>
      </c>
      <c r="F84" s="2">
        <v>0.94</v>
      </c>
      <c r="G84" s="2">
        <v>13.81</v>
      </c>
      <c r="H84" s="3" t="s">
        <v>36</v>
      </c>
      <c r="I84" s="3" t="s">
        <v>36</v>
      </c>
      <c r="J84" s="3" t="s">
        <v>36</v>
      </c>
      <c r="K84" s="3" t="s">
        <v>36</v>
      </c>
      <c r="L84" s="3" t="s">
        <v>36</v>
      </c>
      <c r="M84" s="3" t="s">
        <v>36</v>
      </c>
      <c r="N84" s="3" t="s">
        <v>36</v>
      </c>
      <c r="O84" s="53">
        <v>63.01</v>
      </c>
    </row>
    <row r="85" spans="1:15" x14ac:dyDescent="0.25">
      <c r="A85" s="47">
        <v>43914</v>
      </c>
      <c r="B85" s="2">
        <v>15.79</v>
      </c>
      <c r="C85" s="53">
        <v>815.74</v>
      </c>
      <c r="D85" s="2">
        <v>910.55</v>
      </c>
      <c r="E85" s="2">
        <v>1071.8</v>
      </c>
      <c r="F85" s="2">
        <v>0.84</v>
      </c>
      <c r="G85" s="2">
        <v>14.32</v>
      </c>
      <c r="H85" s="3" t="s">
        <v>36</v>
      </c>
      <c r="I85" s="3" t="s">
        <v>36</v>
      </c>
      <c r="J85" s="3" t="s">
        <v>36</v>
      </c>
      <c r="K85" s="3" t="s">
        <v>36</v>
      </c>
      <c r="L85" s="3" t="s">
        <v>36</v>
      </c>
      <c r="M85" s="3" t="s">
        <v>36</v>
      </c>
      <c r="N85" s="3" t="s">
        <v>36</v>
      </c>
      <c r="O85" s="2">
        <v>48.51</v>
      </c>
    </row>
    <row r="86" spans="1:15" x14ac:dyDescent="0.25">
      <c r="A86" s="47">
        <v>43915</v>
      </c>
      <c r="B86" s="2">
        <v>20.309999999999999</v>
      </c>
      <c r="C86" s="2">
        <v>785.27</v>
      </c>
      <c r="D86" s="2">
        <v>843.94</v>
      </c>
      <c r="E86" s="2">
        <v>1009.22</v>
      </c>
      <c r="F86" s="2">
        <v>0.95</v>
      </c>
      <c r="G86" s="2">
        <v>14.23</v>
      </c>
      <c r="H86" s="3" t="s">
        <v>36</v>
      </c>
      <c r="I86" s="3" t="s">
        <v>36</v>
      </c>
      <c r="J86" s="3" t="s">
        <v>36</v>
      </c>
      <c r="K86" s="3" t="s">
        <v>36</v>
      </c>
      <c r="L86" s="3" t="s">
        <v>36</v>
      </c>
      <c r="M86" s="3" t="s">
        <v>36</v>
      </c>
      <c r="N86" s="3" t="s">
        <v>36</v>
      </c>
      <c r="O86" s="53">
        <v>76.27</v>
      </c>
    </row>
    <row r="87" spans="1:15" x14ac:dyDescent="0.25">
      <c r="A87" s="47">
        <v>43916</v>
      </c>
      <c r="B87" s="2">
        <v>26.68</v>
      </c>
      <c r="C87" s="53">
        <v>1055.01</v>
      </c>
      <c r="D87" s="2">
        <v>882.49</v>
      </c>
      <c r="E87" s="2">
        <v>940.17</v>
      </c>
      <c r="F87" s="2">
        <v>0.85</v>
      </c>
      <c r="G87" s="2">
        <v>14.03</v>
      </c>
      <c r="H87" s="3" t="s">
        <v>36</v>
      </c>
      <c r="I87" s="3" t="s">
        <v>36</v>
      </c>
      <c r="J87" s="3" t="s">
        <v>36</v>
      </c>
      <c r="K87" s="3" t="s">
        <v>36</v>
      </c>
      <c r="L87" s="3" t="s">
        <v>36</v>
      </c>
      <c r="M87" s="3" t="s">
        <v>36</v>
      </c>
      <c r="N87" s="3" t="s">
        <v>36</v>
      </c>
      <c r="O87" s="53">
        <v>100.12</v>
      </c>
    </row>
    <row r="88" spans="1:15" x14ac:dyDescent="0.25">
      <c r="A88" s="47">
        <v>43917</v>
      </c>
      <c r="B88" s="2">
        <v>10.53</v>
      </c>
      <c r="C88" s="2">
        <v>784.64</v>
      </c>
      <c r="D88" s="2">
        <v>967.45</v>
      </c>
      <c r="E88" s="2">
        <v>930.76</v>
      </c>
      <c r="F88" s="2">
        <v>0.72</v>
      </c>
      <c r="G88" s="2">
        <v>13.76</v>
      </c>
      <c r="H88" s="3" t="s">
        <v>36</v>
      </c>
      <c r="I88" s="3" t="s">
        <v>36</v>
      </c>
      <c r="J88" s="3" t="s">
        <v>36</v>
      </c>
      <c r="K88" s="3" t="s">
        <v>36</v>
      </c>
      <c r="L88" s="3" t="s">
        <v>36</v>
      </c>
      <c r="M88" s="3" t="s">
        <v>36</v>
      </c>
      <c r="N88" s="3" t="s">
        <v>36</v>
      </c>
      <c r="O88" s="53">
        <v>80</v>
      </c>
    </row>
    <row r="89" spans="1:15" x14ac:dyDescent="0.25">
      <c r="A89" s="47">
        <v>43918</v>
      </c>
      <c r="B89" s="2">
        <v>20.64</v>
      </c>
      <c r="C89" s="2">
        <v>784.67</v>
      </c>
      <c r="D89" s="2">
        <v>927.81</v>
      </c>
      <c r="E89" s="2">
        <v>935.76</v>
      </c>
      <c r="F89" s="2">
        <v>0.74</v>
      </c>
      <c r="G89" s="2">
        <v>13.81</v>
      </c>
      <c r="H89" s="3" t="s">
        <v>36</v>
      </c>
      <c r="I89" s="3" t="s">
        <v>36</v>
      </c>
      <c r="J89" s="3" t="s">
        <v>36</v>
      </c>
      <c r="K89" s="3" t="s">
        <v>36</v>
      </c>
      <c r="L89" s="3" t="s">
        <v>36</v>
      </c>
      <c r="M89" s="3" t="s">
        <v>36</v>
      </c>
      <c r="N89" s="3" t="s">
        <v>36</v>
      </c>
      <c r="O89" s="53">
        <v>99.19</v>
      </c>
    </row>
    <row r="90" spans="1:15" x14ac:dyDescent="0.25">
      <c r="A90" s="47">
        <v>43919</v>
      </c>
      <c r="B90" s="2">
        <v>11.89</v>
      </c>
      <c r="C90" s="2">
        <v>786.44</v>
      </c>
      <c r="D90" s="2">
        <v>827.75</v>
      </c>
      <c r="E90" s="2">
        <v>960.68</v>
      </c>
      <c r="F90" s="2">
        <v>0.74</v>
      </c>
      <c r="G90" s="2">
        <v>14.35</v>
      </c>
      <c r="H90" s="3" t="s">
        <v>36</v>
      </c>
      <c r="I90" s="3" t="s">
        <v>36</v>
      </c>
      <c r="J90" s="3" t="s">
        <v>36</v>
      </c>
      <c r="K90" s="3" t="s">
        <v>36</v>
      </c>
      <c r="L90" s="3" t="s">
        <v>36</v>
      </c>
      <c r="M90" s="3" t="s">
        <v>36</v>
      </c>
      <c r="N90" s="3" t="s">
        <v>36</v>
      </c>
      <c r="O90" s="53">
        <v>83.4</v>
      </c>
    </row>
    <row r="91" spans="1:15" x14ac:dyDescent="0.25">
      <c r="A91" s="47">
        <v>43920</v>
      </c>
      <c r="B91" s="2">
        <v>23.05</v>
      </c>
      <c r="C91" s="53">
        <v>862.79</v>
      </c>
      <c r="D91" s="2">
        <v>889.35</v>
      </c>
      <c r="E91" s="2">
        <v>937.14</v>
      </c>
      <c r="F91" s="2">
        <v>0.68</v>
      </c>
      <c r="G91" s="2">
        <v>13.55</v>
      </c>
      <c r="H91" s="3" t="s">
        <v>36</v>
      </c>
      <c r="I91" s="3" t="s">
        <v>36</v>
      </c>
      <c r="J91" s="3" t="s">
        <v>36</v>
      </c>
      <c r="K91" s="3" t="s">
        <v>36</v>
      </c>
      <c r="L91" s="3" t="s">
        <v>36</v>
      </c>
      <c r="M91" s="3" t="s">
        <v>36</v>
      </c>
      <c r="N91" s="3" t="s">
        <v>36</v>
      </c>
      <c r="O91" s="2">
        <v>45.28</v>
      </c>
    </row>
    <row r="92" spans="1:15" x14ac:dyDescent="0.25">
      <c r="A92" s="47">
        <v>43921</v>
      </c>
      <c r="B92" s="2">
        <v>14.55</v>
      </c>
      <c r="C92" s="53">
        <v>928.99</v>
      </c>
      <c r="D92" s="2">
        <v>802.97</v>
      </c>
      <c r="E92" s="2">
        <v>938.29</v>
      </c>
      <c r="F92" s="2">
        <v>0.71</v>
      </c>
      <c r="G92" s="2">
        <v>13.69</v>
      </c>
      <c r="H92" s="3" t="s">
        <v>36</v>
      </c>
      <c r="I92" s="3" t="s">
        <v>36</v>
      </c>
      <c r="J92" s="3" t="s">
        <v>36</v>
      </c>
      <c r="K92" s="3" t="s">
        <v>36</v>
      </c>
      <c r="L92" s="3" t="s">
        <v>36</v>
      </c>
      <c r="M92" s="3" t="s">
        <v>36</v>
      </c>
      <c r="N92" s="3" t="s">
        <v>36</v>
      </c>
      <c r="O92" s="53">
        <v>88.73</v>
      </c>
    </row>
    <row r="93" spans="1:15" x14ac:dyDescent="0.25">
      <c r="A93" s="47">
        <v>43922</v>
      </c>
      <c r="B93" s="2">
        <v>13.47</v>
      </c>
      <c r="C93" s="2">
        <v>786.2</v>
      </c>
      <c r="D93" s="2">
        <v>829.96</v>
      </c>
      <c r="E93" s="2">
        <v>973.82</v>
      </c>
      <c r="F93" s="2">
        <v>0.73</v>
      </c>
      <c r="G93" s="2">
        <v>13.82</v>
      </c>
      <c r="H93" s="3" t="s">
        <v>36</v>
      </c>
      <c r="I93" s="3" t="s">
        <v>36</v>
      </c>
      <c r="J93" s="3" t="s">
        <v>36</v>
      </c>
      <c r="K93" s="3" t="s">
        <v>36</v>
      </c>
      <c r="L93" s="3" t="s">
        <v>36</v>
      </c>
      <c r="M93" s="3" t="s">
        <v>36</v>
      </c>
      <c r="N93" s="3" t="s">
        <v>36</v>
      </c>
      <c r="O93" s="53">
        <v>57.65</v>
      </c>
    </row>
    <row r="94" spans="1:15" x14ac:dyDescent="0.25">
      <c r="A94" s="47">
        <v>43923</v>
      </c>
      <c r="B94" s="2">
        <v>26.89</v>
      </c>
      <c r="C94" s="53">
        <v>816.96</v>
      </c>
      <c r="D94" s="2">
        <v>842.82</v>
      </c>
      <c r="E94" s="2">
        <v>968.49</v>
      </c>
      <c r="F94" s="2">
        <v>1.32</v>
      </c>
      <c r="G94" s="2">
        <v>13.85</v>
      </c>
      <c r="H94" s="3" t="s">
        <v>36</v>
      </c>
      <c r="I94" s="3" t="s">
        <v>36</v>
      </c>
      <c r="J94" s="3" t="s">
        <v>36</v>
      </c>
      <c r="K94" s="3" t="s">
        <v>36</v>
      </c>
      <c r="L94" s="3" t="s">
        <v>36</v>
      </c>
      <c r="M94" s="3" t="s">
        <v>36</v>
      </c>
      <c r="N94" s="3" t="s">
        <v>36</v>
      </c>
      <c r="O94" s="53">
        <v>82.79</v>
      </c>
    </row>
    <row r="95" spans="1:15" x14ac:dyDescent="0.25">
      <c r="A95" s="47">
        <v>43924</v>
      </c>
      <c r="B95" s="2">
        <v>25.82</v>
      </c>
      <c r="C95" s="2">
        <v>785.84</v>
      </c>
      <c r="D95" s="2">
        <v>883.24</v>
      </c>
      <c r="E95" s="2">
        <v>944.81</v>
      </c>
      <c r="F95" s="2">
        <v>5.27</v>
      </c>
      <c r="G95" s="2">
        <v>13.67</v>
      </c>
      <c r="H95" s="3" t="s">
        <v>36</v>
      </c>
      <c r="I95" s="3" t="s">
        <v>36</v>
      </c>
      <c r="J95" s="3" t="s">
        <v>36</v>
      </c>
      <c r="K95" s="3" t="s">
        <v>36</v>
      </c>
      <c r="L95" s="3" t="s">
        <v>36</v>
      </c>
      <c r="M95" s="3" t="s">
        <v>36</v>
      </c>
      <c r="N95" s="3" t="s">
        <v>36</v>
      </c>
      <c r="O95" s="53">
        <v>50.16</v>
      </c>
    </row>
    <row r="96" spans="1:15" x14ac:dyDescent="0.25">
      <c r="A96" s="47">
        <v>43925</v>
      </c>
      <c r="B96" s="2">
        <v>44</v>
      </c>
      <c r="C96" s="2">
        <v>789.7</v>
      </c>
      <c r="D96" s="2">
        <v>1076.2</v>
      </c>
      <c r="E96" s="2">
        <v>962.89</v>
      </c>
      <c r="F96" s="2">
        <v>0.78</v>
      </c>
      <c r="G96" s="2">
        <v>13.04</v>
      </c>
      <c r="H96" s="3" t="s">
        <v>36</v>
      </c>
      <c r="I96" s="3" t="s">
        <v>36</v>
      </c>
      <c r="J96" s="3" t="s">
        <v>36</v>
      </c>
      <c r="K96" s="3" t="s">
        <v>36</v>
      </c>
      <c r="L96" s="3" t="s">
        <v>36</v>
      </c>
      <c r="M96" s="3" t="s">
        <v>36</v>
      </c>
      <c r="N96" s="3" t="s">
        <v>36</v>
      </c>
      <c r="O96" s="53">
        <v>77.400000000000006</v>
      </c>
    </row>
    <row r="97" spans="1:15" x14ac:dyDescent="0.25">
      <c r="A97" s="47">
        <v>43926</v>
      </c>
      <c r="B97" s="2">
        <v>35.94</v>
      </c>
      <c r="C97" s="2">
        <v>793.88</v>
      </c>
      <c r="D97" s="2">
        <v>905.46</v>
      </c>
      <c r="E97" s="2">
        <v>860.31</v>
      </c>
      <c r="F97" s="2">
        <v>0.9</v>
      </c>
      <c r="G97" s="2">
        <v>13.95</v>
      </c>
      <c r="H97" s="3" t="s">
        <v>36</v>
      </c>
      <c r="I97" s="3" t="s">
        <v>36</v>
      </c>
      <c r="J97" s="3" t="s">
        <v>36</v>
      </c>
      <c r="K97" s="3" t="s">
        <v>36</v>
      </c>
      <c r="L97" s="3" t="s">
        <v>36</v>
      </c>
      <c r="M97" s="3" t="s">
        <v>36</v>
      </c>
      <c r="N97" s="3" t="s">
        <v>36</v>
      </c>
      <c r="O97" s="3" t="s">
        <v>36</v>
      </c>
    </row>
    <row r="98" spans="1:15" x14ac:dyDescent="0.25">
      <c r="A98" s="47">
        <v>43927</v>
      </c>
      <c r="B98" s="2">
        <v>18.600000000000001</v>
      </c>
      <c r="C98" s="53">
        <v>1115.75</v>
      </c>
      <c r="D98" s="2">
        <v>855.86</v>
      </c>
      <c r="E98" s="2">
        <v>880.16</v>
      </c>
      <c r="F98" s="2">
        <v>3.66</v>
      </c>
      <c r="G98" s="2">
        <v>14.3</v>
      </c>
      <c r="H98" s="3" t="s">
        <v>36</v>
      </c>
      <c r="I98" s="3" t="s">
        <v>36</v>
      </c>
      <c r="J98" s="3" t="s">
        <v>36</v>
      </c>
      <c r="K98" s="3" t="s">
        <v>36</v>
      </c>
      <c r="L98" s="3" t="s">
        <v>36</v>
      </c>
      <c r="M98" s="3" t="s">
        <v>36</v>
      </c>
      <c r="N98" s="3" t="s">
        <v>36</v>
      </c>
      <c r="O98" s="2">
        <v>32.85</v>
      </c>
    </row>
    <row r="99" spans="1:15" x14ac:dyDescent="0.25">
      <c r="A99" s="47">
        <v>43928</v>
      </c>
      <c r="B99" s="2">
        <v>10.93</v>
      </c>
      <c r="C99" s="53">
        <v>856.66</v>
      </c>
      <c r="D99" s="2">
        <v>869.92</v>
      </c>
      <c r="E99" s="2">
        <v>903.05</v>
      </c>
      <c r="F99" s="2">
        <v>0.88</v>
      </c>
      <c r="G99" s="2">
        <v>14.06</v>
      </c>
      <c r="H99" s="3" t="s">
        <v>36</v>
      </c>
      <c r="I99" s="3" t="s">
        <v>36</v>
      </c>
      <c r="J99" s="3" t="s">
        <v>36</v>
      </c>
      <c r="K99" s="3" t="s">
        <v>36</v>
      </c>
      <c r="L99" s="3" t="s">
        <v>36</v>
      </c>
      <c r="M99" s="3" t="s">
        <v>36</v>
      </c>
      <c r="N99" s="3" t="s">
        <v>36</v>
      </c>
      <c r="O99" s="53">
        <v>83.14</v>
      </c>
    </row>
    <row r="100" spans="1:15" x14ac:dyDescent="0.25">
      <c r="A100" s="47">
        <v>43929</v>
      </c>
      <c r="B100" s="2">
        <v>17.72</v>
      </c>
      <c r="C100" s="2">
        <v>794.16</v>
      </c>
      <c r="D100" s="2">
        <v>882.82</v>
      </c>
      <c r="E100" s="2">
        <v>923.79</v>
      </c>
      <c r="F100" s="2">
        <v>1.25</v>
      </c>
      <c r="G100" s="2">
        <v>14.04</v>
      </c>
      <c r="H100" s="3" t="s">
        <v>70</v>
      </c>
      <c r="I100" s="3" t="s">
        <v>70</v>
      </c>
      <c r="J100" s="3" t="s">
        <v>70</v>
      </c>
      <c r="K100" s="3" t="s">
        <v>70</v>
      </c>
      <c r="L100" s="3" t="s">
        <v>70</v>
      </c>
      <c r="M100" s="2">
        <v>15.49</v>
      </c>
      <c r="N100" s="3" t="s">
        <v>36</v>
      </c>
      <c r="O100" s="53">
        <v>56.73</v>
      </c>
    </row>
    <row r="101" spans="1:15" x14ac:dyDescent="0.25">
      <c r="A101" s="47">
        <v>43930</v>
      </c>
      <c r="B101" s="2">
        <v>7.59</v>
      </c>
      <c r="C101" s="2">
        <v>716.55</v>
      </c>
      <c r="D101" s="2">
        <v>847.78</v>
      </c>
      <c r="E101" s="2">
        <v>914.35</v>
      </c>
      <c r="F101" s="2">
        <v>1.3</v>
      </c>
      <c r="G101" s="2">
        <v>13.95</v>
      </c>
      <c r="H101" s="3" t="s">
        <v>70</v>
      </c>
      <c r="I101" s="3" t="s">
        <v>70</v>
      </c>
      <c r="J101" s="3" t="s">
        <v>70</v>
      </c>
      <c r="K101" s="3" t="s">
        <v>70</v>
      </c>
      <c r="L101" s="3" t="s">
        <v>70</v>
      </c>
      <c r="M101" s="2">
        <v>15.96</v>
      </c>
      <c r="N101" s="3" t="s">
        <v>36</v>
      </c>
      <c r="O101" s="2">
        <v>15.93</v>
      </c>
    </row>
    <row r="102" spans="1:15" x14ac:dyDescent="0.25">
      <c r="A102" s="47">
        <v>43931</v>
      </c>
      <c r="B102" s="2">
        <v>14.25</v>
      </c>
      <c r="C102" s="2">
        <v>750.55</v>
      </c>
      <c r="D102" s="2">
        <v>928.35</v>
      </c>
      <c r="E102" s="2">
        <v>961.46</v>
      </c>
      <c r="F102" s="2">
        <v>0.86</v>
      </c>
      <c r="G102" s="2">
        <v>13.93</v>
      </c>
      <c r="H102" s="2">
        <v>39.83</v>
      </c>
      <c r="I102" s="2">
        <v>741.74</v>
      </c>
      <c r="J102" s="2">
        <v>870.11</v>
      </c>
      <c r="K102" s="2">
        <v>715.27</v>
      </c>
      <c r="L102" s="2">
        <v>1.68</v>
      </c>
      <c r="M102" s="2">
        <v>15.29</v>
      </c>
      <c r="N102" s="3" t="s">
        <v>36</v>
      </c>
      <c r="O102" s="53">
        <v>83.82</v>
      </c>
    </row>
    <row r="103" spans="1:15" x14ac:dyDescent="0.25">
      <c r="A103" s="47">
        <v>43932</v>
      </c>
      <c r="B103" s="2">
        <v>22.71</v>
      </c>
      <c r="C103" s="2">
        <v>746.63</v>
      </c>
      <c r="D103" s="2">
        <v>1325.72</v>
      </c>
      <c r="E103" s="2">
        <v>1065.67</v>
      </c>
      <c r="F103" s="2">
        <v>0.87</v>
      </c>
      <c r="G103" s="2">
        <v>13.69</v>
      </c>
      <c r="H103" s="2">
        <v>22.23</v>
      </c>
      <c r="I103" s="2">
        <v>689.83</v>
      </c>
      <c r="J103" s="2">
        <v>911.7</v>
      </c>
      <c r="K103" s="2">
        <v>822.05</v>
      </c>
      <c r="L103" s="2">
        <v>1.78</v>
      </c>
      <c r="M103" s="2">
        <v>15.4</v>
      </c>
      <c r="N103" s="3" t="s">
        <v>36</v>
      </c>
      <c r="O103" s="53">
        <v>66.61</v>
      </c>
    </row>
    <row r="104" spans="1:15" x14ac:dyDescent="0.25">
      <c r="A104" s="47">
        <v>43933</v>
      </c>
      <c r="B104" s="2">
        <v>7.36</v>
      </c>
      <c r="C104" s="2">
        <v>750.09</v>
      </c>
      <c r="D104" s="2">
        <v>1324.55</v>
      </c>
      <c r="E104" s="2">
        <v>1135.1300000000001</v>
      </c>
      <c r="F104" s="2">
        <v>0.91</v>
      </c>
      <c r="G104" s="2">
        <v>13.94</v>
      </c>
      <c r="H104" s="2">
        <v>24.36</v>
      </c>
      <c r="I104" s="2">
        <v>724.43</v>
      </c>
      <c r="J104" s="2">
        <v>977.28</v>
      </c>
      <c r="K104" s="2">
        <v>853.15</v>
      </c>
      <c r="L104" s="2">
        <v>1.94</v>
      </c>
      <c r="M104" s="2">
        <v>15.13</v>
      </c>
      <c r="N104" s="3" t="s">
        <v>36</v>
      </c>
      <c r="O104" s="53">
        <v>90.83</v>
      </c>
    </row>
    <row r="105" spans="1:15" x14ac:dyDescent="0.25">
      <c r="A105" s="47">
        <v>43934</v>
      </c>
      <c r="B105" s="2">
        <v>17.14</v>
      </c>
      <c r="C105" s="2">
        <v>760.28</v>
      </c>
      <c r="D105" s="2">
        <v>1142.4000000000001</v>
      </c>
      <c r="E105" s="2">
        <v>1097.5</v>
      </c>
      <c r="F105" s="2">
        <v>0.98</v>
      </c>
      <c r="G105" s="2">
        <v>13.4</v>
      </c>
      <c r="H105" s="2">
        <v>22.03</v>
      </c>
      <c r="I105" s="2">
        <v>734.65</v>
      </c>
      <c r="J105" s="2">
        <v>896.7</v>
      </c>
      <c r="K105" s="2">
        <v>905.48</v>
      </c>
      <c r="L105" s="2">
        <v>1.78</v>
      </c>
      <c r="M105" s="2">
        <v>15.11</v>
      </c>
      <c r="N105" s="3" t="s">
        <v>36</v>
      </c>
      <c r="O105" s="53">
        <v>86.64</v>
      </c>
    </row>
    <row r="106" spans="1:15" x14ac:dyDescent="0.25">
      <c r="A106" s="47">
        <v>43935</v>
      </c>
      <c r="B106" s="2">
        <v>7.98</v>
      </c>
      <c r="C106" s="2">
        <v>770.01</v>
      </c>
      <c r="D106" s="2">
        <v>945.69</v>
      </c>
      <c r="E106" s="2">
        <v>1125.94</v>
      </c>
      <c r="F106" s="2">
        <v>0.89</v>
      </c>
      <c r="G106" s="2">
        <v>13.96</v>
      </c>
      <c r="H106" s="2">
        <v>27.34</v>
      </c>
      <c r="I106" s="2">
        <v>644.17999999999995</v>
      </c>
      <c r="J106" s="2">
        <v>780.2</v>
      </c>
      <c r="K106" s="2">
        <v>866.23</v>
      </c>
      <c r="L106" s="2">
        <v>1.86</v>
      </c>
      <c r="M106" s="2">
        <v>15.05</v>
      </c>
      <c r="N106" s="3" t="s">
        <v>36</v>
      </c>
      <c r="O106" s="53">
        <v>101.95</v>
      </c>
    </row>
    <row r="107" spans="1:15" x14ac:dyDescent="0.25">
      <c r="A107" s="47">
        <v>43936</v>
      </c>
      <c r="B107" s="2">
        <v>33.76</v>
      </c>
      <c r="C107" s="2">
        <v>770.62</v>
      </c>
      <c r="D107" s="2">
        <v>980.07</v>
      </c>
      <c r="E107" s="2">
        <v>1067.5999999999999</v>
      </c>
      <c r="F107" s="2">
        <v>0.87</v>
      </c>
      <c r="G107" s="2">
        <v>13.28</v>
      </c>
      <c r="H107" s="2">
        <v>32.479999999999997</v>
      </c>
      <c r="I107" s="2">
        <v>605.73</v>
      </c>
      <c r="J107" s="2">
        <v>751.9</v>
      </c>
      <c r="K107" s="2">
        <v>807.28</v>
      </c>
      <c r="L107" s="2">
        <v>1.83</v>
      </c>
      <c r="M107" s="2">
        <v>15.23</v>
      </c>
      <c r="N107" s="3" t="s">
        <v>36</v>
      </c>
      <c r="O107" s="53">
        <v>101.83</v>
      </c>
    </row>
    <row r="108" spans="1:15" x14ac:dyDescent="0.25">
      <c r="A108" s="47">
        <v>43937</v>
      </c>
      <c r="B108" s="2">
        <v>16.37</v>
      </c>
      <c r="C108" s="2">
        <v>769.87</v>
      </c>
      <c r="D108" s="2">
        <v>806.26</v>
      </c>
      <c r="E108" s="2">
        <v>883.73</v>
      </c>
      <c r="F108" s="2">
        <v>0.87</v>
      </c>
      <c r="G108" s="2">
        <v>13.6</v>
      </c>
      <c r="H108" s="2">
        <v>22.36</v>
      </c>
      <c r="I108" s="2">
        <v>556.08000000000004</v>
      </c>
      <c r="J108" s="2">
        <v>575.24</v>
      </c>
      <c r="K108" s="2">
        <v>781.24</v>
      </c>
      <c r="L108" s="2">
        <v>1.59</v>
      </c>
      <c r="M108" s="2">
        <v>14.8</v>
      </c>
      <c r="N108" s="3" t="s">
        <v>36</v>
      </c>
      <c r="O108" s="53">
        <v>86.83</v>
      </c>
    </row>
    <row r="109" spans="1:15" x14ac:dyDescent="0.25">
      <c r="A109" s="47">
        <v>43938</v>
      </c>
      <c r="B109" s="3" t="s">
        <v>36</v>
      </c>
      <c r="C109" s="3" t="s">
        <v>36</v>
      </c>
      <c r="D109" s="3" t="s">
        <v>36</v>
      </c>
      <c r="E109" s="3" t="s">
        <v>36</v>
      </c>
      <c r="F109" s="3" t="s">
        <v>36</v>
      </c>
      <c r="G109" s="3" t="s">
        <v>36</v>
      </c>
      <c r="H109" s="2">
        <v>30.07</v>
      </c>
      <c r="I109" s="2">
        <v>646.78</v>
      </c>
      <c r="J109" s="2">
        <v>661.19</v>
      </c>
      <c r="K109" s="2">
        <v>716.57</v>
      </c>
      <c r="L109" s="2">
        <v>1.72</v>
      </c>
      <c r="M109" s="2">
        <v>15.43</v>
      </c>
      <c r="N109" s="3" t="s">
        <v>36</v>
      </c>
      <c r="O109" s="53">
        <v>94.28</v>
      </c>
    </row>
    <row r="110" spans="1:15" x14ac:dyDescent="0.25">
      <c r="A110" s="47">
        <v>43939</v>
      </c>
      <c r="B110" s="3" t="s">
        <v>36</v>
      </c>
      <c r="C110" s="3" t="s">
        <v>36</v>
      </c>
      <c r="D110" s="3" t="s">
        <v>36</v>
      </c>
      <c r="E110" s="3" t="s">
        <v>36</v>
      </c>
      <c r="F110" s="3" t="s">
        <v>36</v>
      </c>
      <c r="G110" s="3" t="s">
        <v>36</v>
      </c>
      <c r="H110" s="2">
        <v>35.39</v>
      </c>
      <c r="I110" s="2">
        <v>726.09</v>
      </c>
      <c r="J110" s="2">
        <v>868.24</v>
      </c>
      <c r="K110" s="2">
        <v>822.38</v>
      </c>
      <c r="L110" s="2">
        <v>1.84</v>
      </c>
      <c r="M110" s="2">
        <v>15.72</v>
      </c>
      <c r="N110" s="3" t="s">
        <v>36</v>
      </c>
      <c r="O110" s="2">
        <v>39.369999999999997</v>
      </c>
    </row>
    <row r="111" spans="1:15" x14ac:dyDescent="0.25">
      <c r="A111" s="47">
        <v>43940</v>
      </c>
      <c r="B111" s="3" t="s">
        <v>70</v>
      </c>
      <c r="C111" s="3" t="s">
        <v>70</v>
      </c>
      <c r="D111" s="3" t="s">
        <v>70</v>
      </c>
      <c r="E111" s="3" t="s">
        <v>70</v>
      </c>
      <c r="F111" s="3" t="s">
        <v>70</v>
      </c>
      <c r="G111" s="2">
        <v>19.14</v>
      </c>
      <c r="H111" s="2">
        <v>38.32</v>
      </c>
      <c r="I111" s="2">
        <v>791.78</v>
      </c>
      <c r="J111" s="2">
        <v>888.93</v>
      </c>
      <c r="K111" s="2">
        <v>865.38</v>
      </c>
      <c r="L111" s="2">
        <v>1.99</v>
      </c>
      <c r="M111" s="2">
        <v>16.04</v>
      </c>
      <c r="N111" s="3" t="s">
        <v>36</v>
      </c>
      <c r="O111" s="53">
        <v>99.28</v>
      </c>
    </row>
    <row r="112" spans="1:15" x14ac:dyDescent="0.25">
      <c r="A112" s="47">
        <v>43941</v>
      </c>
      <c r="B112" s="2">
        <v>11.36</v>
      </c>
      <c r="C112" s="2">
        <v>752.23</v>
      </c>
      <c r="D112" s="2">
        <v>968.64</v>
      </c>
      <c r="E112" s="2">
        <v>1063.92</v>
      </c>
      <c r="F112" s="2">
        <v>0.8</v>
      </c>
      <c r="G112" s="2">
        <v>14.51</v>
      </c>
      <c r="H112" s="3" t="s">
        <v>36</v>
      </c>
      <c r="I112" s="3" t="s">
        <v>36</v>
      </c>
      <c r="J112" s="3" t="s">
        <v>36</v>
      </c>
      <c r="K112" s="3" t="s">
        <v>36</v>
      </c>
      <c r="L112" s="3" t="s">
        <v>36</v>
      </c>
      <c r="M112" s="3" t="s">
        <v>36</v>
      </c>
      <c r="N112" s="3" t="s">
        <v>36</v>
      </c>
      <c r="O112" s="53">
        <v>102.01</v>
      </c>
    </row>
    <row r="113" spans="1:15" x14ac:dyDescent="0.25">
      <c r="A113" s="47">
        <v>43942</v>
      </c>
      <c r="B113" s="2">
        <v>9.67</v>
      </c>
      <c r="C113" s="2">
        <v>787.86</v>
      </c>
      <c r="D113" s="2">
        <v>1018.46</v>
      </c>
      <c r="E113" s="2">
        <v>1007.21</v>
      </c>
      <c r="F113" s="2">
        <v>0.91</v>
      </c>
      <c r="G113" s="2">
        <v>14.43</v>
      </c>
      <c r="H113" s="2">
        <v>31.59</v>
      </c>
      <c r="I113" s="2">
        <v>767.25</v>
      </c>
      <c r="J113" s="2">
        <v>653.75</v>
      </c>
      <c r="K113" s="2">
        <v>752.44</v>
      </c>
      <c r="L113" s="2">
        <v>1.95</v>
      </c>
      <c r="M113" s="2">
        <v>15.48</v>
      </c>
      <c r="N113" s="3" t="s">
        <v>36</v>
      </c>
      <c r="O113" s="53">
        <v>75.150000000000006</v>
      </c>
    </row>
    <row r="114" spans="1:15" x14ac:dyDescent="0.25">
      <c r="A114" s="47">
        <v>43943</v>
      </c>
      <c r="B114" s="2">
        <v>8.59</v>
      </c>
      <c r="C114" s="53">
        <v>804.76</v>
      </c>
      <c r="D114" s="2">
        <v>1027.56</v>
      </c>
      <c r="E114" s="2">
        <v>1016.47</v>
      </c>
      <c r="F114" s="2">
        <v>0.94</v>
      </c>
      <c r="G114" s="2">
        <v>14.27</v>
      </c>
      <c r="H114" s="2">
        <v>37.82</v>
      </c>
      <c r="I114" s="2">
        <v>714.49</v>
      </c>
      <c r="J114" s="2">
        <v>864.49</v>
      </c>
      <c r="K114" s="2">
        <v>814.18</v>
      </c>
      <c r="L114" s="2">
        <v>1.96</v>
      </c>
      <c r="M114" s="2">
        <v>15.63</v>
      </c>
      <c r="N114" s="3" t="s">
        <v>36</v>
      </c>
      <c r="O114" s="53">
        <v>61.78</v>
      </c>
    </row>
    <row r="115" spans="1:15" x14ac:dyDescent="0.25">
      <c r="A115" s="47">
        <v>43944</v>
      </c>
      <c r="B115" s="2">
        <v>33.33</v>
      </c>
      <c r="C115" s="2">
        <v>758.15</v>
      </c>
      <c r="D115" s="2">
        <v>1038.9000000000001</v>
      </c>
      <c r="E115" s="2">
        <v>957.18</v>
      </c>
      <c r="F115" s="2">
        <v>1</v>
      </c>
      <c r="G115" s="2">
        <v>14.21</v>
      </c>
      <c r="H115" s="2">
        <v>40.909999999999997</v>
      </c>
      <c r="I115" s="2">
        <v>770.8</v>
      </c>
      <c r="J115" s="2">
        <v>1024.82</v>
      </c>
      <c r="K115" s="2">
        <v>938.34</v>
      </c>
      <c r="L115" s="2">
        <v>2.27</v>
      </c>
      <c r="M115" s="2">
        <v>16.41</v>
      </c>
      <c r="N115" s="3" t="s">
        <v>36</v>
      </c>
      <c r="O115" s="53">
        <v>80.92</v>
      </c>
    </row>
    <row r="116" spans="1:15" x14ac:dyDescent="0.25">
      <c r="A116" s="47">
        <v>43945</v>
      </c>
      <c r="B116" s="2">
        <v>15.9</v>
      </c>
      <c r="C116" s="2">
        <v>761.28</v>
      </c>
      <c r="D116" s="2">
        <v>1051.83</v>
      </c>
      <c r="E116" s="2">
        <v>957.21</v>
      </c>
      <c r="F116" s="2">
        <v>1.08</v>
      </c>
      <c r="G116" s="2">
        <v>14</v>
      </c>
      <c r="H116" s="2">
        <v>41.7</v>
      </c>
      <c r="I116" s="2">
        <v>757.04</v>
      </c>
      <c r="J116" s="2">
        <v>1015.94</v>
      </c>
      <c r="K116" s="2">
        <v>849.85</v>
      </c>
      <c r="L116" s="2">
        <v>2.0499999999999998</v>
      </c>
      <c r="M116" s="2">
        <v>16.14</v>
      </c>
      <c r="N116" s="3" t="s">
        <v>36</v>
      </c>
      <c r="O116" s="2">
        <v>0.98</v>
      </c>
    </row>
    <row r="117" spans="1:15" x14ac:dyDescent="0.25">
      <c r="A117" s="47">
        <v>43946</v>
      </c>
      <c r="B117" s="2">
        <v>44.45</v>
      </c>
      <c r="C117" s="2">
        <v>728.23</v>
      </c>
      <c r="D117" s="2">
        <v>1154.1300000000001</v>
      </c>
      <c r="E117" s="2">
        <v>999.82</v>
      </c>
      <c r="F117" s="2">
        <v>1</v>
      </c>
      <c r="G117" s="2">
        <v>14.26</v>
      </c>
      <c r="H117" s="3" t="s">
        <v>70</v>
      </c>
      <c r="I117" s="3" t="s">
        <v>70</v>
      </c>
      <c r="J117" s="3" t="s">
        <v>70</v>
      </c>
      <c r="K117" s="3" t="s">
        <v>70</v>
      </c>
      <c r="L117" s="3" t="s">
        <v>70</v>
      </c>
      <c r="M117" s="2">
        <v>15.74</v>
      </c>
      <c r="N117" s="3" t="s">
        <v>36</v>
      </c>
      <c r="O117" s="2">
        <v>17.37</v>
      </c>
    </row>
    <row r="118" spans="1:15" x14ac:dyDescent="0.25">
      <c r="A118" s="47">
        <v>43947</v>
      </c>
      <c r="B118" s="2">
        <v>25.5</v>
      </c>
      <c r="C118" s="2">
        <v>774.12</v>
      </c>
      <c r="D118" s="2">
        <v>1279.1199999999999</v>
      </c>
      <c r="E118" s="2">
        <v>1010.67</v>
      </c>
      <c r="F118" s="2">
        <v>0.92</v>
      </c>
      <c r="G118" s="2">
        <v>14.84</v>
      </c>
      <c r="H118" s="2">
        <v>36</v>
      </c>
      <c r="I118" s="2">
        <v>791.93</v>
      </c>
      <c r="J118" s="2">
        <v>1214.1099999999999</v>
      </c>
      <c r="K118" s="2">
        <v>834.97</v>
      </c>
      <c r="L118" s="2">
        <v>1.79</v>
      </c>
      <c r="M118" s="2">
        <v>15.53</v>
      </c>
      <c r="N118" s="3" t="s">
        <v>36</v>
      </c>
      <c r="O118" s="53">
        <v>79.67</v>
      </c>
    </row>
    <row r="119" spans="1:15" x14ac:dyDescent="0.25">
      <c r="A119" s="47">
        <v>43948</v>
      </c>
      <c r="B119" s="2">
        <v>38.340000000000003</v>
      </c>
      <c r="C119" s="2">
        <v>776.23</v>
      </c>
      <c r="D119" s="2">
        <v>1221.81</v>
      </c>
      <c r="E119" s="2">
        <v>1022.5</v>
      </c>
      <c r="F119" s="2">
        <v>0.8</v>
      </c>
      <c r="G119" s="2">
        <v>14.26</v>
      </c>
      <c r="H119" s="2">
        <v>32.28</v>
      </c>
      <c r="I119" s="2">
        <v>608.91999999999996</v>
      </c>
      <c r="J119" s="2">
        <v>1133.02</v>
      </c>
      <c r="K119" s="2">
        <v>826.45</v>
      </c>
      <c r="L119" s="2">
        <v>1.69</v>
      </c>
      <c r="M119" s="2">
        <v>15.32</v>
      </c>
      <c r="N119" s="3" t="s">
        <v>36</v>
      </c>
      <c r="O119" s="53">
        <v>100.14</v>
      </c>
    </row>
    <row r="120" spans="1:15" x14ac:dyDescent="0.25">
      <c r="A120" s="47">
        <v>43949</v>
      </c>
      <c r="B120" s="2">
        <v>15.09</v>
      </c>
      <c r="C120" s="2">
        <v>777.23</v>
      </c>
      <c r="D120" s="2">
        <v>1364.24</v>
      </c>
      <c r="E120" s="2">
        <v>1129.94</v>
      </c>
      <c r="F120" s="2">
        <v>0.81</v>
      </c>
      <c r="G120" s="2">
        <v>14.74</v>
      </c>
      <c r="H120" s="53">
        <v>56.57</v>
      </c>
      <c r="I120" s="2">
        <v>743.48</v>
      </c>
      <c r="J120" s="2">
        <v>1031.05</v>
      </c>
      <c r="K120" s="2">
        <v>916.84</v>
      </c>
      <c r="L120" s="2">
        <v>1.76</v>
      </c>
      <c r="M120" s="2">
        <v>15.38</v>
      </c>
      <c r="N120" s="3" t="s">
        <v>36</v>
      </c>
      <c r="O120" s="53">
        <v>70.73</v>
      </c>
    </row>
    <row r="121" spans="1:15" x14ac:dyDescent="0.25">
      <c r="A121" s="47">
        <v>43950</v>
      </c>
      <c r="B121" s="2">
        <v>40.200000000000003</v>
      </c>
      <c r="C121" s="2">
        <v>771.24</v>
      </c>
      <c r="D121" s="2">
        <v>1385.26</v>
      </c>
      <c r="E121" s="2">
        <v>1115</v>
      </c>
      <c r="F121" s="2">
        <v>0.76</v>
      </c>
      <c r="G121" s="2">
        <v>13.97</v>
      </c>
      <c r="H121" s="2">
        <v>44.62</v>
      </c>
      <c r="I121" s="2">
        <v>690.35</v>
      </c>
      <c r="J121" s="2">
        <v>1008.85</v>
      </c>
      <c r="K121" s="2">
        <v>918.06</v>
      </c>
      <c r="L121" s="2">
        <v>1.69</v>
      </c>
      <c r="M121" s="2">
        <v>15.24</v>
      </c>
      <c r="N121" s="2">
        <v>7.33</v>
      </c>
      <c r="O121" s="53">
        <v>81.87</v>
      </c>
    </row>
    <row r="122" spans="1:15" x14ac:dyDescent="0.25">
      <c r="A122" s="47">
        <v>43951</v>
      </c>
      <c r="B122" s="53">
        <v>52.96</v>
      </c>
      <c r="C122" s="2">
        <v>777.24</v>
      </c>
      <c r="D122" s="2">
        <v>1292.54</v>
      </c>
      <c r="E122" s="2">
        <v>1093.52</v>
      </c>
      <c r="F122" s="2">
        <v>0.73</v>
      </c>
      <c r="G122" s="2">
        <v>13.43</v>
      </c>
      <c r="H122" s="2">
        <v>43.05</v>
      </c>
      <c r="I122" s="2">
        <v>693.15</v>
      </c>
      <c r="J122" s="2">
        <v>1027.8</v>
      </c>
      <c r="K122" s="2">
        <v>908.4</v>
      </c>
      <c r="L122" s="2">
        <v>1.76</v>
      </c>
      <c r="M122" s="2">
        <v>15.21</v>
      </c>
      <c r="N122" s="2">
        <v>7.33</v>
      </c>
      <c r="O122" s="53">
        <v>89.75</v>
      </c>
    </row>
    <row r="123" spans="1:15" x14ac:dyDescent="0.25">
      <c r="A123" s="47">
        <v>43952</v>
      </c>
      <c r="B123" s="2">
        <v>12.87</v>
      </c>
      <c r="C123" s="2">
        <v>777.17</v>
      </c>
      <c r="D123" s="2">
        <v>1065.74</v>
      </c>
      <c r="E123" s="2">
        <v>993.43</v>
      </c>
      <c r="F123" s="2">
        <v>0.79</v>
      </c>
      <c r="G123" s="2">
        <v>14.01</v>
      </c>
      <c r="H123" s="2">
        <v>37.950000000000003</v>
      </c>
      <c r="I123" s="2">
        <v>689.6</v>
      </c>
      <c r="J123" s="2">
        <v>983.35</v>
      </c>
      <c r="K123" s="2">
        <v>816.95</v>
      </c>
      <c r="L123" s="2">
        <v>1.53</v>
      </c>
      <c r="M123" s="2">
        <v>14.88</v>
      </c>
      <c r="N123" s="2">
        <v>7.33</v>
      </c>
      <c r="O123" s="53">
        <v>66.52</v>
      </c>
    </row>
    <row r="124" spans="1:15" x14ac:dyDescent="0.25">
      <c r="A124" s="47">
        <v>43953</v>
      </c>
      <c r="B124" s="2">
        <v>8.14</v>
      </c>
      <c r="C124" s="2">
        <v>777.41</v>
      </c>
      <c r="D124" s="2">
        <v>1042.9000000000001</v>
      </c>
      <c r="E124" s="2">
        <v>983.29</v>
      </c>
      <c r="F124" s="2">
        <v>0.82</v>
      </c>
      <c r="G124" s="2">
        <v>14.15</v>
      </c>
      <c r="H124" s="2">
        <v>37.71</v>
      </c>
      <c r="I124" s="2">
        <v>763.95</v>
      </c>
      <c r="J124" s="2">
        <v>983.16</v>
      </c>
      <c r="K124" s="2">
        <v>770.81</v>
      </c>
      <c r="L124" s="2">
        <v>1.64</v>
      </c>
      <c r="M124" s="2">
        <v>14.93</v>
      </c>
      <c r="N124" s="2">
        <v>7.33</v>
      </c>
      <c r="O124" s="53">
        <v>61.37</v>
      </c>
    </row>
    <row r="125" spans="1:15" x14ac:dyDescent="0.25">
      <c r="A125" s="47">
        <v>43954</v>
      </c>
      <c r="B125" s="2">
        <v>34.5</v>
      </c>
      <c r="C125" s="2">
        <v>775.44</v>
      </c>
      <c r="D125" s="2">
        <v>1105.79</v>
      </c>
      <c r="E125" s="2">
        <v>976.37</v>
      </c>
      <c r="F125" s="2">
        <v>0.8</v>
      </c>
      <c r="G125" s="2">
        <v>13.65</v>
      </c>
      <c r="H125" s="2">
        <v>32.18</v>
      </c>
      <c r="I125" s="2">
        <v>654.17999999999995</v>
      </c>
      <c r="J125" s="2">
        <v>969.01</v>
      </c>
      <c r="K125" s="2">
        <v>704.17</v>
      </c>
      <c r="L125" s="2">
        <v>1.72</v>
      </c>
      <c r="M125" s="2">
        <v>14.58</v>
      </c>
      <c r="N125" s="2">
        <v>7.33</v>
      </c>
      <c r="O125" s="53">
        <v>83.58</v>
      </c>
    </row>
    <row r="126" spans="1:15" x14ac:dyDescent="0.25">
      <c r="A126" s="47">
        <v>43955</v>
      </c>
      <c r="B126" s="2">
        <v>36.69</v>
      </c>
      <c r="C126" s="2">
        <v>776.89</v>
      </c>
      <c r="D126" s="2">
        <v>1295.0899999999999</v>
      </c>
      <c r="E126" s="2">
        <v>984.34</v>
      </c>
      <c r="F126" s="2">
        <v>0.79</v>
      </c>
      <c r="G126" s="2">
        <v>13.45</v>
      </c>
      <c r="H126" s="53">
        <v>64.3</v>
      </c>
      <c r="I126" s="2">
        <v>732.92</v>
      </c>
      <c r="J126" s="2">
        <v>1101.45</v>
      </c>
      <c r="K126" s="2">
        <v>715.82</v>
      </c>
      <c r="L126" s="2">
        <v>1.88</v>
      </c>
      <c r="M126" s="2">
        <v>14.51</v>
      </c>
      <c r="N126" s="2">
        <v>7.33</v>
      </c>
      <c r="O126" s="53">
        <v>71.709999999999994</v>
      </c>
    </row>
    <row r="127" spans="1:15" x14ac:dyDescent="0.25">
      <c r="A127" s="47">
        <v>43956</v>
      </c>
      <c r="B127" s="2">
        <v>19.78</v>
      </c>
      <c r="C127" s="2">
        <v>776.61</v>
      </c>
      <c r="D127" s="2">
        <v>1018.24</v>
      </c>
      <c r="E127" s="2">
        <v>849.94</v>
      </c>
      <c r="F127" s="2">
        <v>0.78</v>
      </c>
      <c r="G127" s="2">
        <v>13.59</v>
      </c>
      <c r="H127" s="3" t="s">
        <v>36</v>
      </c>
      <c r="I127" s="3" t="s">
        <v>36</v>
      </c>
      <c r="J127" s="3" t="s">
        <v>36</v>
      </c>
      <c r="K127" s="3" t="s">
        <v>36</v>
      </c>
      <c r="L127" s="3" t="s">
        <v>36</v>
      </c>
      <c r="M127" s="3" t="s">
        <v>36</v>
      </c>
      <c r="N127" s="2">
        <v>7.33</v>
      </c>
      <c r="O127" s="53">
        <v>69.540000000000006</v>
      </c>
    </row>
    <row r="128" spans="1:15" x14ac:dyDescent="0.25">
      <c r="A128" s="47">
        <v>43957</v>
      </c>
      <c r="B128" s="2">
        <v>34.04</v>
      </c>
      <c r="C128" s="2">
        <v>777.68</v>
      </c>
      <c r="D128" s="2">
        <v>959.9</v>
      </c>
      <c r="E128" s="2">
        <v>765.74</v>
      </c>
      <c r="F128" s="2">
        <v>0.83</v>
      </c>
      <c r="G128" s="2">
        <v>13.67</v>
      </c>
      <c r="H128" s="3" t="s">
        <v>36</v>
      </c>
      <c r="I128" s="3" t="s">
        <v>36</v>
      </c>
      <c r="J128" s="3" t="s">
        <v>36</v>
      </c>
      <c r="K128" s="3" t="s">
        <v>36</v>
      </c>
      <c r="L128" s="3" t="s">
        <v>36</v>
      </c>
      <c r="M128" s="3" t="s">
        <v>36</v>
      </c>
      <c r="N128" s="3" t="s">
        <v>36</v>
      </c>
      <c r="O128" s="53">
        <v>85.18</v>
      </c>
    </row>
    <row r="129" spans="1:15" x14ac:dyDescent="0.25">
      <c r="A129" s="47">
        <v>43958</v>
      </c>
      <c r="B129" s="2">
        <v>32.58</v>
      </c>
      <c r="C129" s="53">
        <v>905.67</v>
      </c>
      <c r="D129" s="2">
        <v>862.98</v>
      </c>
      <c r="E129" s="2">
        <v>716.81</v>
      </c>
      <c r="F129" s="2">
        <v>0.88</v>
      </c>
      <c r="G129" s="2">
        <v>14.01</v>
      </c>
      <c r="H129" s="3" t="s">
        <v>36</v>
      </c>
      <c r="I129" s="3" t="s">
        <v>36</v>
      </c>
      <c r="J129" s="3" t="s">
        <v>36</v>
      </c>
      <c r="K129" s="3" t="s">
        <v>36</v>
      </c>
      <c r="L129" s="3" t="s">
        <v>36</v>
      </c>
      <c r="M129" s="3" t="s">
        <v>36</v>
      </c>
      <c r="N129" s="3" t="s">
        <v>36</v>
      </c>
      <c r="O129" s="53">
        <v>69.400000000000006</v>
      </c>
    </row>
    <row r="130" spans="1:15" x14ac:dyDescent="0.25">
      <c r="A130" s="47">
        <v>43959</v>
      </c>
      <c r="B130" s="2">
        <v>30.36</v>
      </c>
      <c r="C130" s="2">
        <v>775.31</v>
      </c>
      <c r="D130" s="2">
        <v>884.03</v>
      </c>
      <c r="E130" s="2">
        <v>765.45</v>
      </c>
      <c r="F130" s="2">
        <v>0.79</v>
      </c>
      <c r="G130" s="2">
        <v>13.85</v>
      </c>
      <c r="H130" s="3" t="s">
        <v>36</v>
      </c>
      <c r="I130" s="3" t="s">
        <v>36</v>
      </c>
      <c r="J130" s="3" t="s">
        <v>36</v>
      </c>
      <c r="K130" s="3" t="s">
        <v>36</v>
      </c>
      <c r="L130" s="3" t="s">
        <v>36</v>
      </c>
      <c r="M130" s="3" t="s">
        <v>36</v>
      </c>
      <c r="N130" s="3" t="s">
        <v>36</v>
      </c>
      <c r="O130" s="53">
        <v>92.69</v>
      </c>
    </row>
    <row r="131" spans="1:15" x14ac:dyDescent="0.25">
      <c r="A131" s="47">
        <v>43960</v>
      </c>
      <c r="B131" s="2">
        <v>16.54</v>
      </c>
      <c r="C131" s="2">
        <v>776.99</v>
      </c>
      <c r="D131" s="2">
        <v>964.32</v>
      </c>
      <c r="E131" s="2">
        <v>906.82</v>
      </c>
      <c r="F131" s="2">
        <v>0.8</v>
      </c>
      <c r="G131" s="2">
        <v>14.05</v>
      </c>
      <c r="H131" s="3" t="s">
        <v>36</v>
      </c>
      <c r="I131" s="3" t="s">
        <v>36</v>
      </c>
      <c r="J131" s="3" t="s">
        <v>36</v>
      </c>
      <c r="K131" s="3" t="s">
        <v>36</v>
      </c>
      <c r="L131" s="3" t="s">
        <v>36</v>
      </c>
      <c r="M131" s="3" t="s">
        <v>36</v>
      </c>
      <c r="N131" s="3" t="s">
        <v>36</v>
      </c>
      <c r="O131" s="53">
        <v>68.290000000000006</v>
      </c>
    </row>
    <row r="132" spans="1:15" x14ac:dyDescent="0.25">
      <c r="A132" s="47">
        <v>43961</v>
      </c>
      <c r="B132" s="2">
        <v>16.600000000000001</v>
      </c>
      <c r="C132" s="2">
        <v>777.14</v>
      </c>
      <c r="D132" s="2">
        <v>977.54</v>
      </c>
      <c r="E132" s="2">
        <v>921.39</v>
      </c>
      <c r="F132" s="2">
        <v>0.8</v>
      </c>
      <c r="G132" s="2">
        <v>14.01</v>
      </c>
      <c r="H132" s="3" t="s">
        <v>36</v>
      </c>
      <c r="I132" s="3" t="s">
        <v>36</v>
      </c>
      <c r="J132" s="3" t="s">
        <v>36</v>
      </c>
      <c r="K132" s="3" t="s">
        <v>36</v>
      </c>
      <c r="L132" s="3" t="s">
        <v>36</v>
      </c>
      <c r="M132" s="3" t="s">
        <v>36</v>
      </c>
      <c r="N132" s="3" t="s">
        <v>36</v>
      </c>
      <c r="O132" s="53">
        <v>81.41</v>
      </c>
    </row>
    <row r="133" spans="1:15" x14ac:dyDescent="0.25">
      <c r="A133" s="47">
        <v>43962</v>
      </c>
      <c r="B133" s="2">
        <v>19.850000000000001</v>
      </c>
      <c r="C133" s="2">
        <v>791.21</v>
      </c>
      <c r="D133" s="2">
        <v>984.64</v>
      </c>
      <c r="E133" s="2">
        <v>938.95</v>
      </c>
      <c r="F133" s="2">
        <v>0.89</v>
      </c>
      <c r="G133" s="2">
        <v>14.03</v>
      </c>
      <c r="H133" s="3" t="s">
        <v>36</v>
      </c>
      <c r="I133" s="3" t="s">
        <v>36</v>
      </c>
      <c r="J133" s="3" t="s">
        <v>36</v>
      </c>
      <c r="K133" s="3" t="s">
        <v>36</v>
      </c>
      <c r="L133" s="3" t="s">
        <v>36</v>
      </c>
      <c r="M133" s="3" t="s">
        <v>36</v>
      </c>
      <c r="N133" s="2">
        <v>7.33</v>
      </c>
      <c r="O133" s="53">
        <v>102.08</v>
      </c>
    </row>
    <row r="134" spans="1:15" x14ac:dyDescent="0.25">
      <c r="A134" s="47">
        <v>43963</v>
      </c>
      <c r="B134" s="2">
        <v>48.16</v>
      </c>
      <c r="C134" s="2">
        <v>776.52</v>
      </c>
      <c r="D134" s="2">
        <v>1020.61</v>
      </c>
      <c r="E134" s="2">
        <v>922.78</v>
      </c>
      <c r="F134" s="2">
        <v>0.78</v>
      </c>
      <c r="G134" s="2">
        <v>13.33</v>
      </c>
      <c r="H134" s="3" t="s">
        <v>36</v>
      </c>
      <c r="I134" s="3" t="s">
        <v>36</v>
      </c>
      <c r="J134" s="3" t="s">
        <v>36</v>
      </c>
      <c r="K134" s="3" t="s">
        <v>36</v>
      </c>
      <c r="L134" s="3" t="s">
        <v>36</v>
      </c>
      <c r="M134" s="3" t="s">
        <v>36</v>
      </c>
      <c r="N134" s="2">
        <v>7.33</v>
      </c>
      <c r="O134" s="3" t="s">
        <v>36</v>
      </c>
    </row>
    <row r="135" spans="1:15" x14ac:dyDescent="0.25">
      <c r="A135" s="47">
        <v>43964</v>
      </c>
      <c r="B135" s="53">
        <v>119.3</v>
      </c>
      <c r="C135" s="2">
        <v>736.03</v>
      </c>
      <c r="D135" s="2">
        <v>1058.6199999999999</v>
      </c>
      <c r="E135" s="2">
        <v>932.89</v>
      </c>
      <c r="F135" s="2">
        <v>0.78</v>
      </c>
      <c r="G135" s="2">
        <v>13.36</v>
      </c>
      <c r="H135" s="3" t="s">
        <v>36</v>
      </c>
      <c r="I135" s="3" t="s">
        <v>36</v>
      </c>
      <c r="J135" s="3" t="s">
        <v>36</v>
      </c>
      <c r="K135" s="3" t="s">
        <v>36</v>
      </c>
      <c r="L135" s="3" t="s">
        <v>36</v>
      </c>
      <c r="M135" s="3" t="s">
        <v>36</v>
      </c>
      <c r="N135" s="2">
        <v>7.33</v>
      </c>
      <c r="O135" s="3" t="s">
        <v>36</v>
      </c>
    </row>
    <row r="136" spans="1:15" x14ac:dyDescent="0.25">
      <c r="A136" s="47">
        <v>43965</v>
      </c>
      <c r="B136" s="3" t="s">
        <v>36</v>
      </c>
      <c r="C136" s="3" t="s">
        <v>36</v>
      </c>
      <c r="D136" s="3" t="s">
        <v>36</v>
      </c>
      <c r="E136" s="3" t="s">
        <v>36</v>
      </c>
      <c r="F136" s="3" t="s">
        <v>36</v>
      </c>
      <c r="G136" s="3" t="s">
        <v>36</v>
      </c>
      <c r="H136" s="3" t="s">
        <v>36</v>
      </c>
      <c r="I136" s="3" t="s">
        <v>36</v>
      </c>
      <c r="J136" s="3" t="s">
        <v>36</v>
      </c>
      <c r="K136" s="3" t="s">
        <v>36</v>
      </c>
      <c r="L136" s="3" t="s">
        <v>36</v>
      </c>
      <c r="M136" s="3" t="s">
        <v>36</v>
      </c>
      <c r="N136" s="2">
        <v>7.33</v>
      </c>
      <c r="O136" s="3" t="s">
        <v>36</v>
      </c>
    </row>
    <row r="137" spans="1:15" x14ac:dyDescent="0.25">
      <c r="A137" s="47">
        <v>43966</v>
      </c>
      <c r="B137" s="2">
        <v>14.83</v>
      </c>
      <c r="C137" s="2">
        <v>777.22</v>
      </c>
      <c r="D137" s="2">
        <v>838.43</v>
      </c>
      <c r="E137" s="2">
        <v>984.87</v>
      </c>
      <c r="F137" s="2">
        <v>0.69</v>
      </c>
      <c r="G137" s="2">
        <v>14.49</v>
      </c>
      <c r="H137" s="3" t="s">
        <v>36</v>
      </c>
      <c r="I137" s="3" t="s">
        <v>36</v>
      </c>
      <c r="J137" s="3" t="s">
        <v>36</v>
      </c>
      <c r="K137" s="3" t="s">
        <v>36</v>
      </c>
      <c r="L137" s="3" t="s">
        <v>36</v>
      </c>
      <c r="M137" s="3" t="s">
        <v>36</v>
      </c>
      <c r="N137" s="2">
        <v>7.33</v>
      </c>
      <c r="O137" s="53">
        <v>50.19</v>
      </c>
    </row>
    <row r="138" spans="1:15" x14ac:dyDescent="0.25">
      <c r="A138" s="47">
        <v>43967</v>
      </c>
      <c r="B138" s="2">
        <v>7.34</v>
      </c>
      <c r="C138" s="2">
        <v>778.16</v>
      </c>
      <c r="D138" s="2">
        <v>758.27</v>
      </c>
      <c r="E138" s="2">
        <v>1032.79</v>
      </c>
      <c r="F138" s="2">
        <v>0.76</v>
      </c>
      <c r="G138" s="2">
        <v>14.95</v>
      </c>
      <c r="H138" s="3" t="s">
        <v>36</v>
      </c>
      <c r="I138" s="3" t="s">
        <v>36</v>
      </c>
      <c r="J138" s="3" t="s">
        <v>36</v>
      </c>
      <c r="K138" s="3" t="s">
        <v>36</v>
      </c>
      <c r="L138" s="3" t="s">
        <v>36</v>
      </c>
      <c r="M138" s="3" t="s">
        <v>36</v>
      </c>
      <c r="N138" s="2">
        <v>7.33</v>
      </c>
      <c r="O138" s="53">
        <v>69.290000000000006</v>
      </c>
    </row>
    <row r="139" spans="1:15" x14ac:dyDescent="0.25">
      <c r="A139" s="47">
        <v>43968</v>
      </c>
      <c r="B139" s="2">
        <v>48.2</v>
      </c>
      <c r="C139" s="2">
        <v>776.82</v>
      </c>
      <c r="D139" s="2">
        <v>925.31</v>
      </c>
      <c r="E139" s="2">
        <v>1022.45</v>
      </c>
      <c r="F139" s="2">
        <v>0.7</v>
      </c>
      <c r="G139" s="2">
        <v>14.29</v>
      </c>
      <c r="H139" s="3" t="s">
        <v>70</v>
      </c>
      <c r="I139" s="3" t="s">
        <v>70</v>
      </c>
      <c r="J139" s="3" t="s">
        <v>70</v>
      </c>
      <c r="K139" s="3" t="s">
        <v>70</v>
      </c>
      <c r="L139" s="3" t="s">
        <v>70</v>
      </c>
      <c r="M139" s="2">
        <v>15.68</v>
      </c>
      <c r="N139" s="3" t="s">
        <v>36</v>
      </c>
      <c r="O139" s="53">
        <v>91.34</v>
      </c>
    </row>
    <row r="140" spans="1:15" x14ac:dyDescent="0.25">
      <c r="A140" s="47">
        <v>43969</v>
      </c>
      <c r="B140" s="53">
        <v>59.82</v>
      </c>
      <c r="C140" s="2">
        <v>772.87</v>
      </c>
      <c r="D140" s="2">
        <v>1034.72</v>
      </c>
      <c r="E140" s="2">
        <v>951.35</v>
      </c>
      <c r="F140" s="2">
        <v>0.59</v>
      </c>
      <c r="G140" s="2">
        <v>12.94</v>
      </c>
      <c r="H140" s="2">
        <v>25.65</v>
      </c>
      <c r="I140" s="53">
        <v>903.24</v>
      </c>
      <c r="J140" s="2">
        <v>729.58</v>
      </c>
      <c r="K140" s="2">
        <v>730.25</v>
      </c>
      <c r="L140" s="2">
        <v>0.11</v>
      </c>
      <c r="M140" s="2">
        <v>15.51</v>
      </c>
      <c r="N140" s="3" t="s">
        <v>36</v>
      </c>
      <c r="O140" s="53">
        <v>87.5</v>
      </c>
    </row>
    <row r="141" spans="1:15" x14ac:dyDescent="0.25">
      <c r="A141" s="47">
        <v>43970</v>
      </c>
      <c r="B141" s="53">
        <v>70.52</v>
      </c>
      <c r="C141" s="2">
        <v>696.2</v>
      </c>
      <c r="D141" s="2">
        <v>826.69</v>
      </c>
      <c r="E141" s="2">
        <v>1065.93</v>
      </c>
      <c r="F141" s="2">
        <v>0.56999999999999995</v>
      </c>
      <c r="G141" s="2">
        <v>13.98</v>
      </c>
      <c r="H141" s="2">
        <v>34.979999999999997</v>
      </c>
      <c r="I141" s="2">
        <v>780.55</v>
      </c>
      <c r="J141" s="2">
        <v>795.15</v>
      </c>
      <c r="K141" s="2">
        <v>814.67</v>
      </c>
      <c r="L141" s="2">
        <v>0.13</v>
      </c>
      <c r="M141" s="2">
        <v>15.91</v>
      </c>
      <c r="N141" s="3" t="s">
        <v>36</v>
      </c>
      <c r="O141" s="53">
        <v>80.91</v>
      </c>
    </row>
    <row r="142" spans="1:15" x14ac:dyDescent="0.25">
      <c r="A142" s="47">
        <v>43971</v>
      </c>
      <c r="B142" s="2">
        <v>33.83</v>
      </c>
      <c r="C142" s="2">
        <v>726.88</v>
      </c>
      <c r="D142" s="2">
        <v>917.1</v>
      </c>
      <c r="E142" s="2">
        <v>1029.8900000000001</v>
      </c>
      <c r="F142" s="2">
        <v>0.56999999999999995</v>
      </c>
      <c r="G142" s="2">
        <v>14.26</v>
      </c>
      <c r="H142" s="2">
        <v>44.63</v>
      </c>
      <c r="I142" s="2">
        <v>756.38</v>
      </c>
      <c r="J142" s="2">
        <v>1320.63</v>
      </c>
      <c r="K142" s="2">
        <v>810.92</v>
      </c>
      <c r="L142" s="2">
        <v>0.11</v>
      </c>
      <c r="M142" s="2">
        <v>15.59</v>
      </c>
      <c r="N142" s="3" t="s">
        <v>36</v>
      </c>
      <c r="O142" s="53">
        <v>101.68</v>
      </c>
    </row>
    <row r="143" spans="1:15" x14ac:dyDescent="0.25">
      <c r="A143" s="47">
        <v>43972</v>
      </c>
      <c r="B143" s="53">
        <v>56.61</v>
      </c>
      <c r="C143" s="2">
        <v>771.29</v>
      </c>
      <c r="D143" s="2">
        <v>992.51</v>
      </c>
      <c r="E143" s="2">
        <v>1021.99</v>
      </c>
      <c r="F143" s="2">
        <v>0.48</v>
      </c>
      <c r="G143" s="2">
        <v>13.63</v>
      </c>
      <c r="H143" s="2">
        <v>39.43</v>
      </c>
      <c r="I143" s="2">
        <v>689.05</v>
      </c>
      <c r="J143" s="2">
        <v>778.16</v>
      </c>
      <c r="K143" s="2">
        <v>791.31</v>
      </c>
      <c r="L143" s="2">
        <v>0.14000000000000001</v>
      </c>
      <c r="M143" s="2">
        <v>16.37</v>
      </c>
      <c r="N143" s="3" t="s">
        <v>36</v>
      </c>
      <c r="O143" s="53">
        <v>74.14</v>
      </c>
    </row>
    <row r="144" spans="1:15" x14ac:dyDescent="0.25">
      <c r="A144" s="47">
        <v>43973</v>
      </c>
      <c r="B144" s="2">
        <v>40.659999999999997</v>
      </c>
      <c r="C144" s="2">
        <v>777.22</v>
      </c>
      <c r="D144" s="2">
        <v>1034.02</v>
      </c>
      <c r="E144" s="2">
        <v>1096.47</v>
      </c>
      <c r="F144" s="2">
        <v>0.25</v>
      </c>
      <c r="G144" s="2">
        <v>14.25</v>
      </c>
      <c r="H144" s="2">
        <v>17.260000000000002</v>
      </c>
      <c r="I144" s="2">
        <v>720.72</v>
      </c>
      <c r="J144" s="2">
        <v>845.69</v>
      </c>
      <c r="K144" s="2">
        <v>814.41</v>
      </c>
      <c r="L144" s="2">
        <v>0.11</v>
      </c>
      <c r="M144" s="2">
        <v>15.27</v>
      </c>
      <c r="N144" s="3" t="s">
        <v>36</v>
      </c>
      <c r="O144" s="53">
        <v>88.43</v>
      </c>
    </row>
    <row r="145" spans="1:15" x14ac:dyDescent="0.25">
      <c r="A145" s="47">
        <v>43974</v>
      </c>
      <c r="B145" s="53">
        <v>51.92</v>
      </c>
      <c r="C145" s="2">
        <v>777.5</v>
      </c>
      <c r="D145" s="2">
        <v>983.65</v>
      </c>
      <c r="E145" s="2">
        <v>1046.8</v>
      </c>
      <c r="F145" s="2">
        <v>0.24</v>
      </c>
      <c r="G145" s="2">
        <v>14.34</v>
      </c>
      <c r="H145" s="2">
        <v>20.32</v>
      </c>
      <c r="I145" s="2">
        <v>575.32000000000005</v>
      </c>
      <c r="J145" s="2">
        <v>720.36</v>
      </c>
      <c r="K145" s="2">
        <v>743.61</v>
      </c>
      <c r="L145" s="2">
        <v>0.12</v>
      </c>
      <c r="M145" s="2">
        <v>15</v>
      </c>
      <c r="N145" s="3" t="s">
        <v>36</v>
      </c>
      <c r="O145" s="53">
        <v>101.48</v>
      </c>
    </row>
    <row r="146" spans="1:15" x14ac:dyDescent="0.25">
      <c r="A146" s="47">
        <v>43975</v>
      </c>
      <c r="B146" s="53">
        <v>68.52</v>
      </c>
      <c r="C146" s="2">
        <v>776.52</v>
      </c>
      <c r="D146" s="2">
        <v>985.72</v>
      </c>
      <c r="E146" s="2">
        <v>1026.26</v>
      </c>
      <c r="F146" s="2">
        <v>0.54</v>
      </c>
      <c r="G146" s="2">
        <v>13.42</v>
      </c>
      <c r="H146" s="2">
        <v>22.31</v>
      </c>
      <c r="I146" s="2">
        <v>625.16999999999996</v>
      </c>
      <c r="J146" s="2">
        <v>803.99</v>
      </c>
      <c r="K146" s="2">
        <v>759.95</v>
      </c>
      <c r="L146" s="2">
        <v>0.16</v>
      </c>
      <c r="M146" s="2">
        <v>15.02</v>
      </c>
      <c r="N146" s="3" t="s">
        <v>36</v>
      </c>
      <c r="O146" s="53">
        <v>89.92</v>
      </c>
    </row>
    <row r="147" spans="1:15" x14ac:dyDescent="0.25">
      <c r="A147" s="47">
        <v>43976</v>
      </c>
      <c r="B147" s="2">
        <v>40.65</v>
      </c>
      <c r="C147" s="2">
        <v>775.59</v>
      </c>
      <c r="D147" s="2">
        <v>981.88</v>
      </c>
      <c r="E147" s="2">
        <v>1072.43</v>
      </c>
      <c r="F147" s="2">
        <v>0.67</v>
      </c>
      <c r="G147" s="2">
        <v>13.91</v>
      </c>
      <c r="H147" s="2">
        <v>21.8</v>
      </c>
      <c r="I147" s="2">
        <v>553.94000000000005</v>
      </c>
      <c r="J147" s="2">
        <v>854.85</v>
      </c>
      <c r="K147" s="2">
        <v>791.02</v>
      </c>
      <c r="L147" s="2">
        <v>0.12</v>
      </c>
      <c r="M147" s="2">
        <v>14.78</v>
      </c>
      <c r="N147" s="3" t="s">
        <v>36</v>
      </c>
      <c r="O147" s="2">
        <v>32.54</v>
      </c>
    </row>
    <row r="148" spans="1:15" x14ac:dyDescent="0.25">
      <c r="A148" s="47">
        <v>43977</v>
      </c>
      <c r="B148" s="53">
        <v>53.84</v>
      </c>
      <c r="C148" s="2">
        <v>772.41</v>
      </c>
      <c r="D148" s="2">
        <v>1012.34</v>
      </c>
      <c r="E148" s="2">
        <v>1036.29</v>
      </c>
      <c r="F148" s="2">
        <v>0.71</v>
      </c>
      <c r="G148" s="2">
        <v>13.54</v>
      </c>
      <c r="H148" s="2">
        <v>49.35</v>
      </c>
      <c r="I148" s="2">
        <v>684.85</v>
      </c>
      <c r="J148" s="2">
        <v>923.56</v>
      </c>
      <c r="K148" s="2">
        <v>827.6</v>
      </c>
      <c r="L148" s="2">
        <v>0.09</v>
      </c>
      <c r="M148" s="2">
        <v>15.06</v>
      </c>
      <c r="N148" s="3" t="s">
        <v>36</v>
      </c>
      <c r="O148" s="53">
        <v>70.989999999999995</v>
      </c>
    </row>
    <row r="149" spans="1:15" x14ac:dyDescent="0.25">
      <c r="A149" s="47">
        <v>43978</v>
      </c>
      <c r="B149" s="2">
        <v>49.01</v>
      </c>
      <c r="C149" s="2">
        <v>776.77</v>
      </c>
      <c r="D149" s="2">
        <v>1023.31</v>
      </c>
      <c r="E149" s="2">
        <v>1031.18</v>
      </c>
      <c r="F149" s="2">
        <v>0.61</v>
      </c>
      <c r="G149" s="2">
        <v>13.59</v>
      </c>
      <c r="H149" s="2">
        <v>23.34</v>
      </c>
      <c r="I149" s="2">
        <v>669.32</v>
      </c>
      <c r="J149" s="2">
        <v>1000.92</v>
      </c>
      <c r="K149" s="2">
        <v>853.22</v>
      </c>
      <c r="L149" s="2">
        <v>0.11</v>
      </c>
      <c r="M149" s="2">
        <v>15.17</v>
      </c>
      <c r="N149" s="2">
        <v>7.33</v>
      </c>
      <c r="O149" s="53">
        <v>101.15</v>
      </c>
    </row>
    <row r="150" spans="1:15" x14ac:dyDescent="0.25">
      <c r="A150" s="47">
        <v>43979</v>
      </c>
      <c r="B150" s="2">
        <v>33.76</v>
      </c>
      <c r="C150" s="2">
        <v>547.54999999999995</v>
      </c>
      <c r="D150" s="2">
        <v>641.97</v>
      </c>
      <c r="E150" s="2">
        <v>486.54</v>
      </c>
      <c r="F150" s="2">
        <v>0.52</v>
      </c>
      <c r="G150" s="2">
        <v>5.79</v>
      </c>
      <c r="H150" s="2">
        <v>17.739999999999998</v>
      </c>
      <c r="I150" s="2">
        <v>709.45</v>
      </c>
      <c r="J150" s="2">
        <v>901.58</v>
      </c>
      <c r="K150" s="2">
        <v>786.24</v>
      </c>
      <c r="L150" s="2">
        <v>0.09</v>
      </c>
      <c r="M150" s="2">
        <v>15.23</v>
      </c>
      <c r="N150" s="2">
        <v>7.33</v>
      </c>
      <c r="O150" s="53">
        <v>90.24</v>
      </c>
    </row>
    <row r="151" spans="1:15" x14ac:dyDescent="0.25">
      <c r="A151" s="47">
        <v>43980</v>
      </c>
      <c r="B151" s="2">
        <v>29.55</v>
      </c>
      <c r="C151" s="2">
        <v>646.91</v>
      </c>
      <c r="D151" s="2">
        <v>775.92</v>
      </c>
      <c r="E151" s="2">
        <v>802.85</v>
      </c>
      <c r="F151" s="2">
        <v>0.62</v>
      </c>
      <c r="G151" s="2">
        <v>9.4700000000000006</v>
      </c>
      <c r="H151" s="2">
        <v>38.08</v>
      </c>
      <c r="I151" s="2">
        <v>723.62</v>
      </c>
      <c r="J151" s="2">
        <v>925.2</v>
      </c>
      <c r="K151" s="2">
        <v>1032.02</v>
      </c>
      <c r="L151" s="2">
        <v>0.18</v>
      </c>
      <c r="M151" s="2">
        <v>16.02</v>
      </c>
      <c r="N151" s="2">
        <v>7.33</v>
      </c>
      <c r="O151" s="53">
        <v>83.95</v>
      </c>
    </row>
    <row r="152" spans="1:15" x14ac:dyDescent="0.25">
      <c r="A152" s="47">
        <v>43981</v>
      </c>
      <c r="B152" s="2">
        <v>47.86</v>
      </c>
      <c r="C152" s="2">
        <v>775.89</v>
      </c>
      <c r="D152" s="2">
        <v>973.21</v>
      </c>
      <c r="E152" s="2">
        <v>1170.3699999999999</v>
      </c>
      <c r="F152" s="2">
        <v>0.76</v>
      </c>
      <c r="G152" s="2">
        <v>14.19</v>
      </c>
      <c r="H152" s="2">
        <v>48.07</v>
      </c>
      <c r="I152" s="2">
        <v>613.04</v>
      </c>
      <c r="J152" s="2">
        <v>973.47</v>
      </c>
      <c r="K152" s="2">
        <v>1288.54</v>
      </c>
      <c r="L152" s="2">
        <v>0.16</v>
      </c>
      <c r="M152" s="2">
        <v>16.18</v>
      </c>
      <c r="N152" s="2">
        <v>7.33</v>
      </c>
      <c r="O152" s="53">
        <v>82.08</v>
      </c>
    </row>
    <row r="153" spans="1:15" x14ac:dyDescent="0.25">
      <c r="A153" s="47">
        <v>43982</v>
      </c>
      <c r="B153" s="53">
        <v>85.42</v>
      </c>
      <c r="C153" s="53">
        <v>812.93</v>
      </c>
      <c r="D153" s="2">
        <v>1029.26</v>
      </c>
      <c r="E153" s="2">
        <v>1254.55</v>
      </c>
      <c r="F153" s="2">
        <v>0.8</v>
      </c>
      <c r="G153" s="2">
        <v>14.38</v>
      </c>
      <c r="H153" s="2">
        <v>42.28</v>
      </c>
      <c r="I153" s="53">
        <v>832.7</v>
      </c>
      <c r="J153" s="2">
        <v>1006.44</v>
      </c>
      <c r="K153" s="2">
        <v>1376.93</v>
      </c>
      <c r="L153" s="2">
        <v>0.14000000000000001</v>
      </c>
      <c r="M153" s="2">
        <v>16.23</v>
      </c>
      <c r="N153" s="3" t="s">
        <v>36</v>
      </c>
      <c r="O153" s="53">
        <v>102.08</v>
      </c>
    </row>
    <row r="154" spans="1:15" x14ac:dyDescent="0.25">
      <c r="A154" s="47">
        <v>43983</v>
      </c>
      <c r="B154" s="53">
        <v>63.5</v>
      </c>
      <c r="C154" s="2">
        <v>784.56</v>
      </c>
      <c r="D154" s="2">
        <v>1023.38</v>
      </c>
      <c r="E154" s="2">
        <v>1254.25</v>
      </c>
      <c r="F154" s="2">
        <v>0.77</v>
      </c>
      <c r="G154" s="2">
        <v>14.62</v>
      </c>
      <c r="H154" s="53">
        <v>51.65</v>
      </c>
      <c r="I154" s="53">
        <v>995.51</v>
      </c>
      <c r="J154" s="2">
        <v>1082.22</v>
      </c>
      <c r="K154" s="2">
        <v>1314.84</v>
      </c>
      <c r="L154" s="2">
        <v>0.22</v>
      </c>
      <c r="M154" s="2">
        <v>16.079999999999998</v>
      </c>
      <c r="N154" s="3" t="s">
        <v>36</v>
      </c>
      <c r="O154" s="53">
        <v>69.41</v>
      </c>
    </row>
    <row r="155" spans="1:15" x14ac:dyDescent="0.25">
      <c r="A155" s="47">
        <v>43984</v>
      </c>
      <c r="B155" s="2">
        <v>33.700000000000003</v>
      </c>
      <c r="C155" s="2">
        <v>772.14</v>
      </c>
      <c r="D155" s="2">
        <v>945.21</v>
      </c>
      <c r="E155" s="2">
        <v>1185.03</v>
      </c>
      <c r="F155" s="2">
        <v>0.81</v>
      </c>
      <c r="G155" s="2">
        <v>15.14</v>
      </c>
      <c r="H155" s="2">
        <v>46.79</v>
      </c>
      <c r="I155" s="2">
        <v>702.48</v>
      </c>
      <c r="J155" s="2">
        <v>1056.8499999999999</v>
      </c>
      <c r="K155" s="2">
        <v>1165.44</v>
      </c>
      <c r="L155" s="2">
        <v>0.69</v>
      </c>
      <c r="M155" s="2">
        <v>15.94</v>
      </c>
      <c r="N155" s="2">
        <v>7.33</v>
      </c>
      <c r="O155" s="53">
        <v>101.63</v>
      </c>
    </row>
    <row r="156" spans="1:15" x14ac:dyDescent="0.25">
      <c r="A156" s="47">
        <v>43985</v>
      </c>
      <c r="B156" s="53">
        <v>67.41</v>
      </c>
      <c r="C156" s="2">
        <v>776.5</v>
      </c>
      <c r="D156" s="2">
        <v>961.14</v>
      </c>
      <c r="E156" s="2">
        <v>1132.32</v>
      </c>
      <c r="F156" s="2">
        <v>0.78</v>
      </c>
      <c r="G156" s="2">
        <v>14.27</v>
      </c>
      <c r="H156" s="2">
        <v>28.67</v>
      </c>
      <c r="I156" s="2">
        <v>770.19</v>
      </c>
      <c r="J156" s="2">
        <v>864.41</v>
      </c>
      <c r="K156" s="2">
        <v>948.83</v>
      </c>
      <c r="L156" s="2">
        <v>0.09</v>
      </c>
      <c r="M156" s="2">
        <v>15.5</v>
      </c>
      <c r="N156" s="2">
        <v>7.33</v>
      </c>
      <c r="O156" s="3" t="s">
        <v>36</v>
      </c>
    </row>
    <row r="157" spans="1:15" x14ac:dyDescent="0.25">
      <c r="A157" s="47">
        <v>43986</v>
      </c>
      <c r="B157" s="53">
        <v>72.31</v>
      </c>
      <c r="C157" s="2">
        <v>777.19</v>
      </c>
      <c r="D157" s="2">
        <v>1045.3699999999999</v>
      </c>
      <c r="E157" s="2">
        <v>1103.32</v>
      </c>
      <c r="F157" s="2">
        <v>0.69</v>
      </c>
      <c r="G157" s="2">
        <v>12.73</v>
      </c>
      <c r="H157" s="2">
        <v>28.33</v>
      </c>
      <c r="I157" s="2">
        <v>743.69</v>
      </c>
      <c r="J157" s="2">
        <v>902.97</v>
      </c>
      <c r="K157" s="2">
        <v>988.79</v>
      </c>
      <c r="L157" s="2">
        <v>0.13</v>
      </c>
      <c r="M157" s="2">
        <v>15.68</v>
      </c>
      <c r="N157" s="2">
        <v>7.33</v>
      </c>
      <c r="O157" s="3" t="s">
        <v>36</v>
      </c>
    </row>
    <row r="158" spans="1:15" x14ac:dyDescent="0.25">
      <c r="A158" s="47">
        <v>43987</v>
      </c>
      <c r="B158" s="53">
        <v>82.83</v>
      </c>
      <c r="C158" s="2">
        <v>777.76</v>
      </c>
      <c r="D158" s="2">
        <v>1073.81</v>
      </c>
      <c r="E158" s="2">
        <v>1107.8900000000001</v>
      </c>
      <c r="F158" s="2">
        <v>0.7</v>
      </c>
      <c r="G158" s="2">
        <v>13.21</v>
      </c>
      <c r="H158" s="53">
        <v>69.06</v>
      </c>
      <c r="I158" s="2">
        <v>699.68</v>
      </c>
      <c r="J158" s="2">
        <v>1010.35</v>
      </c>
      <c r="K158" s="2">
        <v>1003.11</v>
      </c>
      <c r="L158" s="2">
        <v>0.11</v>
      </c>
      <c r="M158" s="2">
        <v>15.52</v>
      </c>
      <c r="N158" s="2">
        <v>7.33</v>
      </c>
      <c r="O158" s="53">
        <v>77.650000000000006</v>
      </c>
    </row>
    <row r="159" spans="1:15" x14ac:dyDescent="0.25">
      <c r="A159" s="47">
        <v>43988</v>
      </c>
      <c r="B159" s="53">
        <v>97.98</v>
      </c>
      <c r="C159" s="2">
        <v>769.66</v>
      </c>
      <c r="D159" s="2">
        <v>1087.1400000000001</v>
      </c>
      <c r="E159" s="2">
        <v>1099.48</v>
      </c>
      <c r="F159" s="2">
        <v>0.73</v>
      </c>
      <c r="G159" s="2">
        <v>12.74</v>
      </c>
      <c r="H159" s="2">
        <v>42.09</v>
      </c>
      <c r="I159" s="2">
        <v>744.7</v>
      </c>
      <c r="J159" s="2">
        <v>1015.48</v>
      </c>
      <c r="K159" s="2">
        <v>1038.55</v>
      </c>
      <c r="L159" s="2">
        <v>0.13</v>
      </c>
      <c r="M159" s="2">
        <v>15.81</v>
      </c>
      <c r="N159" s="2">
        <v>7.33</v>
      </c>
      <c r="O159" s="2">
        <v>20.5</v>
      </c>
    </row>
    <row r="160" spans="1:15" x14ac:dyDescent="0.25">
      <c r="A160" s="47">
        <v>43989</v>
      </c>
      <c r="B160" s="2">
        <v>32.96</v>
      </c>
      <c r="C160" s="53">
        <v>831.18</v>
      </c>
      <c r="D160" s="2">
        <v>1009.85</v>
      </c>
      <c r="E160" s="2">
        <v>964.19</v>
      </c>
      <c r="F160" s="2">
        <v>0.72</v>
      </c>
      <c r="G160" s="2">
        <v>13.77</v>
      </c>
      <c r="H160" s="2">
        <v>33.01</v>
      </c>
      <c r="I160" s="2">
        <v>698.37</v>
      </c>
      <c r="J160" s="2">
        <v>983.35</v>
      </c>
      <c r="K160" s="2">
        <v>927.85</v>
      </c>
      <c r="L160" s="2">
        <v>0.13</v>
      </c>
      <c r="M160" s="2">
        <v>15.7</v>
      </c>
      <c r="N160" s="2">
        <v>7.33</v>
      </c>
      <c r="O160" s="53">
        <v>67.510000000000005</v>
      </c>
    </row>
    <row r="161" spans="1:15" x14ac:dyDescent="0.25">
      <c r="A161" s="47">
        <v>43990</v>
      </c>
      <c r="B161" s="2">
        <v>38.51</v>
      </c>
      <c r="C161" s="2">
        <v>776.62</v>
      </c>
      <c r="D161" s="2">
        <v>1016.43</v>
      </c>
      <c r="E161" s="2">
        <v>825.04</v>
      </c>
      <c r="F161" s="2">
        <v>0.72</v>
      </c>
      <c r="G161" s="2">
        <v>13.58</v>
      </c>
      <c r="H161" s="2">
        <v>30.12</v>
      </c>
      <c r="I161" s="2">
        <v>750.17</v>
      </c>
      <c r="J161" s="2">
        <v>1060.92</v>
      </c>
      <c r="K161" s="2">
        <v>828.84</v>
      </c>
      <c r="L161" s="2">
        <v>0.16</v>
      </c>
      <c r="M161" s="2">
        <v>15.86</v>
      </c>
      <c r="N161" s="2">
        <v>7.33</v>
      </c>
      <c r="O161" s="53">
        <v>95.8</v>
      </c>
    </row>
    <row r="162" spans="1:15" x14ac:dyDescent="0.25">
      <c r="A162" s="47">
        <v>43991</v>
      </c>
      <c r="B162" s="2">
        <v>43.85</v>
      </c>
      <c r="C162" s="2">
        <v>777.5</v>
      </c>
      <c r="D162" s="2">
        <v>1005.02</v>
      </c>
      <c r="E162" s="2">
        <v>819.76</v>
      </c>
      <c r="F162" s="2">
        <v>0.71</v>
      </c>
      <c r="G162" s="2">
        <v>13.64</v>
      </c>
      <c r="H162" s="2">
        <v>33.85</v>
      </c>
      <c r="I162" s="2">
        <v>766.4</v>
      </c>
      <c r="J162" s="2">
        <v>973.56</v>
      </c>
      <c r="K162" s="2">
        <v>933.26</v>
      </c>
      <c r="L162" s="2">
        <v>0.1</v>
      </c>
      <c r="M162" s="2">
        <v>16.059999999999999</v>
      </c>
      <c r="N162" s="2">
        <v>7.33</v>
      </c>
      <c r="O162" s="53">
        <v>102.08</v>
      </c>
    </row>
    <row r="163" spans="1:15" x14ac:dyDescent="0.25">
      <c r="A163" s="47">
        <v>43992</v>
      </c>
      <c r="B163" s="2">
        <v>33.97</v>
      </c>
      <c r="C163" s="2">
        <v>774.33</v>
      </c>
      <c r="D163" s="2">
        <v>1042.29</v>
      </c>
      <c r="E163" s="2">
        <v>970.16</v>
      </c>
      <c r="F163" s="2">
        <v>0.79</v>
      </c>
      <c r="G163" s="2">
        <v>13.85</v>
      </c>
      <c r="H163" s="3" t="s">
        <v>36</v>
      </c>
      <c r="I163" s="3" t="s">
        <v>36</v>
      </c>
      <c r="J163" s="3" t="s">
        <v>36</v>
      </c>
      <c r="K163" s="3" t="s">
        <v>36</v>
      </c>
      <c r="L163" s="3" t="s">
        <v>36</v>
      </c>
      <c r="M163" s="3" t="s">
        <v>36</v>
      </c>
      <c r="N163" s="2">
        <v>7.33</v>
      </c>
      <c r="O163" s="53">
        <v>77.62</v>
      </c>
    </row>
    <row r="164" spans="1:15" x14ac:dyDescent="0.25">
      <c r="A164" s="47">
        <v>43993</v>
      </c>
      <c r="B164" s="53">
        <v>55.43</v>
      </c>
      <c r="C164" s="2">
        <v>788.89</v>
      </c>
      <c r="D164" s="2">
        <v>1079.19</v>
      </c>
      <c r="E164" s="2">
        <v>946.77</v>
      </c>
      <c r="F164" s="2">
        <v>0.78</v>
      </c>
      <c r="G164" s="2">
        <v>13.73</v>
      </c>
      <c r="H164" s="3" t="s">
        <v>70</v>
      </c>
      <c r="I164" s="3" t="s">
        <v>70</v>
      </c>
      <c r="J164" s="3" t="s">
        <v>70</v>
      </c>
      <c r="K164" s="3" t="s">
        <v>70</v>
      </c>
      <c r="L164" s="3" t="s">
        <v>70</v>
      </c>
      <c r="M164" s="2">
        <v>16.36</v>
      </c>
      <c r="N164" s="2">
        <v>7.33</v>
      </c>
      <c r="O164" s="53">
        <v>96.12</v>
      </c>
    </row>
    <row r="165" spans="1:15" x14ac:dyDescent="0.25">
      <c r="A165" s="47">
        <v>43994</v>
      </c>
      <c r="B165" s="2">
        <v>37.51</v>
      </c>
      <c r="C165" s="2">
        <v>777.3</v>
      </c>
      <c r="D165" s="2">
        <v>1274.08</v>
      </c>
      <c r="E165" s="2">
        <v>968.83</v>
      </c>
      <c r="F165" s="2">
        <v>0.81</v>
      </c>
      <c r="G165" s="2">
        <v>13.52</v>
      </c>
      <c r="H165" s="2">
        <v>30.01</v>
      </c>
      <c r="I165" s="53">
        <v>867.28</v>
      </c>
      <c r="J165" s="2">
        <v>995.77</v>
      </c>
      <c r="K165" s="2">
        <v>838.61</v>
      </c>
      <c r="L165" s="2">
        <v>0.14000000000000001</v>
      </c>
      <c r="M165" s="2">
        <v>15.62</v>
      </c>
      <c r="N165" s="3" t="s">
        <v>36</v>
      </c>
      <c r="O165" s="53">
        <v>101.59</v>
      </c>
    </row>
    <row r="166" spans="1:15" x14ac:dyDescent="0.25">
      <c r="A166" s="47">
        <v>43995</v>
      </c>
      <c r="B166" s="53">
        <v>53.25</v>
      </c>
      <c r="C166" s="2">
        <v>775.92</v>
      </c>
      <c r="D166" s="2">
        <v>1674.39</v>
      </c>
      <c r="E166" s="2">
        <v>1071.51</v>
      </c>
      <c r="F166" s="2">
        <v>0.81</v>
      </c>
      <c r="G166" s="2">
        <v>13.57</v>
      </c>
      <c r="H166" s="53">
        <v>54.92</v>
      </c>
      <c r="I166" s="53">
        <v>811.45</v>
      </c>
      <c r="J166" s="2">
        <v>1188.1400000000001</v>
      </c>
      <c r="K166" s="2">
        <v>1040.18</v>
      </c>
      <c r="L166" s="2">
        <v>0.22</v>
      </c>
      <c r="M166" s="2">
        <v>16.100000000000001</v>
      </c>
      <c r="N166" s="2">
        <v>7.33</v>
      </c>
      <c r="O166" s="53">
        <v>86.7</v>
      </c>
    </row>
    <row r="167" spans="1:15" x14ac:dyDescent="0.25">
      <c r="A167" s="47">
        <v>43996</v>
      </c>
      <c r="B167" s="2">
        <v>29.42</v>
      </c>
      <c r="C167" s="2">
        <v>784.53</v>
      </c>
      <c r="D167" s="2">
        <v>1448.49</v>
      </c>
      <c r="E167" s="2">
        <v>1122.47</v>
      </c>
      <c r="F167" s="2">
        <v>1.01</v>
      </c>
      <c r="G167" s="2">
        <v>14.2</v>
      </c>
      <c r="H167" s="53">
        <v>57.75</v>
      </c>
      <c r="I167" s="2">
        <v>779.07</v>
      </c>
      <c r="J167" s="2">
        <v>1143.29</v>
      </c>
      <c r="K167" s="2">
        <v>1016.96</v>
      </c>
      <c r="L167" s="2">
        <v>0.17</v>
      </c>
      <c r="M167" s="2">
        <v>16.010000000000002</v>
      </c>
      <c r="N167" s="2">
        <v>7.33</v>
      </c>
      <c r="O167" s="53">
        <v>101.94</v>
      </c>
    </row>
    <row r="168" spans="1:15" x14ac:dyDescent="0.25">
      <c r="A168" s="47">
        <v>43997</v>
      </c>
      <c r="B168" s="2">
        <v>45.4</v>
      </c>
      <c r="C168" s="53">
        <v>986.85</v>
      </c>
      <c r="D168" s="2">
        <v>1554.17</v>
      </c>
      <c r="E168" s="2">
        <v>1124.79</v>
      </c>
      <c r="F168" s="2">
        <v>1.0900000000000001</v>
      </c>
      <c r="G168" s="2">
        <v>13.84</v>
      </c>
      <c r="H168" s="53">
        <v>59.75</v>
      </c>
      <c r="I168" s="53">
        <v>893.42</v>
      </c>
      <c r="J168" s="2">
        <v>1180.67</v>
      </c>
      <c r="K168" s="2">
        <v>1009.82</v>
      </c>
      <c r="L168" s="2">
        <v>0.1</v>
      </c>
      <c r="M168" s="2">
        <v>15.69</v>
      </c>
      <c r="N168" s="2">
        <v>7.33</v>
      </c>
      <c r="O168" s="53">
        <v>101.01</v>
      </c>
    </row>
    <row r="169" spans="1:15" x14ac:dyDescent="0.25">
      <c r="A169" s="47">
        <v>43998</v>
      </c>
      <c r="B169" s="3" t="s">
        <v>36</v>
      </c>
      <c r="C169" s="3" t="s">
        <v>36</v>
      </c>
      <c r="D169" s="3" t="s">
        <v>36</v>
      </c>
      <c r="E169" s="3" t="s">
        <v>36</v>
      </c>
      <c r="F169" s="3" t="s">
        <v>36</v>
      </c>
      <c r="G169" s="3" t="s">
        <v>36</v>
      </c>
      <c r="H169" s="2">
        <v>47.87</v>
      </c>
      <c r="I169" s="2">
        <v>692.12</v>
      </c>
      <c r="J169" s="2">
        <v>1057.3800000000001</v>
      </c>
      <c r="K169" s="2">
        <v>862.09</v>
      </c>
      <c r="L169" s="2">
        <v>0.11</v>
      </c>
      <c r="M169" s="2">
        <v>14.95</v>
      </c>
      <c r="N169" s="2">
        <v>7.33</v>
      </c>
      <c r="O169" s="53">
        <v>101.25</v>
      </c>
    </row>
    <row r="170" spans="1:15" x14ac:dyDescent="0.25">
      <c r="A170" s="47">
        <v>43999</v>
      </c>
      <c r="B170" s="3" t="s">
        <v>36</v>
      </c>
      <c r="C170" s="3" t="s">
        <v>36</v>
      </c>
      <c r="D170" s="3" t="s">
        <v>36</v>
      </c>
      <c r="E170" s="3" t="s">
        <v>36</v>
      </c>
      <c r="F170" s="3" t="s">
        <v>36</v>
      </c>
      <c r="G170" s="3" t="s">
        <v>36</v>
      </c>
      <c r="H170" s="53">
        <v>53.47</v>
      </c>
      <c r="I170" s="2">
        <v>666.93</v>
      </c>
      <c r="J170" s="2">
        <v>1097.3599999999999</v>
      </c>
      <c r="K170" s="2">
        <v>883.39</v>
      </c>
      <c r="L170" s="2">
        <v>0.08</v>
      </c>
      <c r="M170" s="2">
        <v>15.06</v>
      </c>
      <c r="N170" s="2">
        <v>7.33</v>
      </c>
      <c r="O170" s="53">
        <v>80.19</v>
      </c>
    </row>
    <row r="171" spans="1:15" x14ac:dyDescent="0.25">
      <c r="A171" s="47">
        <v>44000</v>
      </c>
      <c r="B171" s="3" t="s">
        <v>36</v>
      </c>
      <c r="C171" s="3" t="s">
        <v>36</v>
      </c>
      <c r="D171" s="3" t="s">
        <v>36</v>
      </c>
      <c r="E171" s="3" t="s">
        <v>36</v>
      </c>
      <c r="F171" s="3" t="s">
        <v>36</v>
      </c>
      <c r="G171" s="3" t="s">
        <v>36</v>
      </c>
      <c r="H171" s="2">
        <v>46.8</v>
      </c>
      <c r="I171" s="2">
        <v>596.55999999999995</v>
      </c>
      <c r="J171" s="2">
        <v>1133.8800000000001</v>
      </c>
      <c r="K171" s="2">
        <v>897.22</v>
      </c>
      <c r="L171" s="2">
        <v>0.08</v>
      </c>
      <c r="M171" s="2">
        <v>15.04</v>
      </c>
      <c r="N171" s="2">
        <v>7.33</v>
      </c>
      <c r="O171" s="53">
        <v>100.53</v>
      </c>
    </row>
    <row r="172" spans="1:15" x14ac:dyDescent="0.25">
      <c r="A172" s="47">
        <v>44001</v>
      </c>
      <c r="B172" s="3" t="s">
        <v>36</v>
      </c>
      <c r="C172" s="3" t="s">
        <v>36</v>
      </c>
      <c r="D172" s="3" t="s">
        <v>36</v>
      </c>
      <c r="E172" s="3" t="s">
        <v>36</v>
      </c>
      <c r="F172" s="3" t="s">
        <v>36</v>
      </c>
      <c r="G172" s="3" t="s">
        <v>36</v>
      </c>
      <c r="H172" s="2">
        <v>36.69</v>
      </c>
      <c r="I172" s="2">
        <v>771.3</v>
      </c>
      <c r="J172" s="2">
        <v>1100.8399999999999</v>
      </c>
      <c r="K172" s="2">
        <v>825.06</v>
      </c>
      <c r="L172" s="2">
        <v>0.08</v>
      </c>
      <c r="M172" s="2">
        <v>14.72</v>
      </c>
      <c r="N172" s="2">
        <v>7.33</v>
      </c>
      <c r="O172" s="53">
        <v>81.45</v>
      </c>
    </row>
    <row r="173" spans="1:15" x14ac:dyDescent="0.25">
      <c r="A173" s="47">
        <v>44002</v>
      </c>
      <c r="B173" s="3" t="s">
        <v>36</v>
      </c>
      <c r="C173" s="3" t="s">
        <v>36</v>
      </c>
      <c r="D173" s="3" t="s">
        <v>36</v>
      </c>
      <c r="E173" s="3" t="s">
        <v>36</v>
      </c>
      <c r="F173" s="3" t="s">
        <v>36</v>
      </c>
      <c r="G173" s="3" t="s">
        <v>36</v>
      </c>
      <c r="H173" s="2">
        <v>27.43</v>
      </c>
      <c r="I173" s="2">
        <v>757.64</v>
      </c>
      <c r="J173" s="2">
        <v>998.87</v>
      </c>
      <c r="K173" s="2">
        <v>708.6</v>
      </c>
      <c r="L173" s="2">
        <v>0.06</v>
      </c>
      <c r="M173" s="2">
        <v>14.82</v>
      </c>
      <c r="N173" s="2">
        <v>7.33</v>
      </c>
      <c r="O173" s="53">
        <v>101.08</v>
      </c>
    </row>
    <row r="174" spans="1:15" x14ac:dyDescent="0.25">
      <c r="A174" s="47">
        <v>44003</v>
      </c>
      <c r="B174" s="3" t="s">
        <v>36</v>
      </c>
      <c r="C174" s="3" t="s">
        <v>36</v>
      </c>
      <c r="D174" s="3" t="s">
        <v>36</v>
      </c>
      <c r="E174" s="3" t="s">
        <v>36</v>
      </c>
      <c r="F174" s="3" t="s">
        <v>36</v>
      </c>
      <c r="G174" s="3" t="s">
        <v>36</v>
      </c>
      <c r="H174" s="2">
        <v>34.93</v>
      </c>
      <c r="I174" s="2">
        <v>743.88</v>
      </c>
      <c r="J174" s="2">
        <v>1027.04</v>
      </c>
      <c r="K174" s="2">
        <v>732.95</v>
      </c>
      <c r="L174" s="2">
        <v>0.1</v>
      </c>
      <c r="M174" s="2">
        <v>14.72</v>
      </c>
      <c r="N174" s="2">
        <v>7.33</v>
      </c>
      <c r="O174" s="53">
        <v>73.66</v>
      </c>
    </row>
    <row r="175" spans="1:15" x14ac:dyDescent="0.25">
      <c r="A175" s="47">
        <v>44004</v>
      </c>
      <c r="B175" s="3" t="s">
        <v>36</v>
      </c>
      <c r="C175" s="3" t="s">
        <v>36</v>
      </c>
      <c r="D175" s="3" t="s">
        <v>36</v>
      </c>
      <c r="E175" s="3" t="s">
        <v>36</v>
      </c>
      <c r="F175" s="3" t="s">
        <v>36</v>
      </c>
      <c r="G175" s="3" t="s">
        <v>36</v>
      </c>
      <c r="H175" s="2">
        <v>28.23</v>
      </c>
      <c r="I175" s="2">
        <v>724.13</v>
      </c>
      <c r="J175" s="2">
        <v>955.69</v>
      </c>
      <c r="K175" s="2">
        <v>736.31</v>
      </c>
      <c r="L175" s="2">
        <v>0.08</v>
      </c>
      <c r="M175" s="2">
        <v>15.09</v>
      </c>
      <c r="N175" s="2">
        <v>7.33</v>
      </c>
      <c r="O175" s="53">
        <v>100.95</v>
      </c>
    </row>
    <row r="176" spans="1:15" x14ac:dyDescent="0.25">
      <c r="A176" s="47">
        <v>44005</v>
      </c>
      <c r="B176" s="3" t="s">
        <v>36</v>
      </c>
      <c r="C176" s="3" t="s">
        <v>36</v>
      </c>
      <c r="D176" s="3" t="s">
        <v>36</v>
      </c>
      <c r="E176" s="3" t="s">
        <v>36</v>
      </c>
      <c r="F176" s="3" t="s">
        <v>36</v>
      </c>
      <c r="G176" s="3" t="s">
        <v>36</v>
      </c>
      <c r="H176" s="3" t="s">
        <v>70</v>
      </c>
      <c r="I176" s="3" t="s">
        <v>70</v>
      </c>
      <c r="J176" s="3" t="s">
        <v>70</v>
      </c>
      <c r="K176" s="3" t="s">
        <v>70</v>
      </c>
      <c r="L176" s="3" t="s">
        <v>70</v>
      </c>
      <c r="M176" s="2">
        <v>15.6</v>
      </c>
      <c r="N176" s="2">
        <v>7.33</v>
      </c>
      <c r="O176" s="2">
        <v>30.62</v>
      </c>
    </row>
    <row r="177" spans="1:15" x14ac:dyDescent="0.25">
      <c r="A177" s="47">
        <v>44006</v>
      </c>
      <c r="B177" s="3" t="s">
        <v>36</v>
      </c>
      <c r="C177" s="3" t="s">
        <v>36</v>
      </c>
      <c r="D177" s="3" t="s">
        <v>36</v>
      </c>
      <c r="E177" s="3" t="s">
        <v>36</v>
      </c>
      <c r="F177" s="3" t="s">
        <v>36</v>
      </c>
      <c r="G177" s="3" t="s">
        <v>36</v>
      </c>
      <c r="H177" s="2">
        <v>34.840000000000003</v>
      </c>
      <c r="I177" s="53">
        <v>907.23</v>
      </c>
      <c r="J177" s="2">
        <v>1076.74</v>
      </c>
      <c r="K177" s="2">
        <v>827.36</v>
      </c>
      <c r="L177" s="2">
        <v>0.24</v>
      </c>
      <c r="M177" s="2">
        <v>15.66</v>
      </c>
      <c r="N177" s="2">
        <v>7.33</v>
      </c>
      <c r="O177" s="2">
        <v>3.56</v>
      </c>
    </row>
    <row r="178" spans="1:15" x14ac:dyDescent="0.25">
      <c r="A178" s="47">
        <v>44007</v>
      </c>
      <c r="B178" s="3" t="s">
        <v>70</v>
      </c>
      <c r="C178" s="3" t="s">
        <v>70</v>
      </c>
      <c r="D178" s="3" t="s">
        <v>70</v>
      </c>
      <c r="E178" s="3" t="s">
        <v>70</v>
      </c>
      <c r="F178" s="3" t="s">
        <v>70</v>
      </c>
      <c r="G178" s="3" t="s">
        <v>70</v>
      </c>
      <c r="H178" s="2">
        <v>39.56</v>
      </c>
      <c r="I178" s="2">
        <v>760.57</v>
      </c>
      <c r="J178" s="2">
        <v>1034.06</v>
      </c>
      <c r="K178" s="2">
        <v>774.57</v>
      </c>
      <c r="L178" s="2">
        <v>0.11</v>
      </c>
      <c r="M178" s="2">
        <v>15.36</v>
      </c>
      <c r="N178" s="2">
        <v>7.33</v>
      </c>
      <c r="O178" s="2">
        <v>41.18</v>
      </c>
    </row>
    <row r="179" spans="1:15" x14ac:dyDescent="0.25">
      <c r="A179" s="47">
        <v>44008</v>
      </c>
      <c r="B179" s="3" t="s">
        <v>36</v>
      </c>
      <c r="C179" s="3" t="s">
        <v>36</v>
      </c>
      <c r="D179" s="3" t="s">
        <v>36</v>
      </c>
      <c r="E179" s="3" t="s">
        <v>36</v>
      </c>
      <c r="F179" s="3" t="s">
        <v>36</v>
      </c>
      <c r="G179" s="3" t="s">
        <v>36</v>
      </c>
      <c r="H179" s="2">
        <v>31.9</v>
      </c>
      <c r="I179" s="2">
        <v>715.85</v>
      </c>
      <c r="J179" s="2">
        <v>1009.79</v>
      </c>
      <c r="K179" s="2">
        <v>743.19</v>
      </c>
      <c r="L179" s="2">
        <v>0.11</v>
      </c>
      <c r="M179" s="2">
        <v>15.05</v>
      </c>
      <c r="N179" s="2">
        <v>7.33</v>
      </c>
      <c r="O179" s="2">
        <v>46.33</v>
      </c>
    </row>
    <row r="180" spans="1:15" x14ac:dyDescent="0.25">
      <c r="A180" s="47">
        <v>44009</v>
      </c>
      <c r="B180" s="3" t="s">
        <v>36</v>
      </c>
      <c r="C180" s="3" t="s">
        <v>36</v>
      </c>
      <c r="D180" s="3" t="s">
        <v>36</v>
      </c>
      <c r="E180" s="3" t="s">
        <v>36</v>
      </c>
      <c r="F180" s="3" t="s">
        <v>36</v>
      </c>
      <c r="G180" s="3" t="s">
        <v>36</v>
      </c>
      <c r="H180" s="2">
        <v>39.549999999999997</v>
      </c>
      <c r="I180" s="2">
        <v>724.53</v>
      </c>
      <c r="J180" s="2">
        <v>1103.27</v>
      </c>
      <c r="K180" s="2">
        <v>735.01</v>
      </c>
      <c r="L180" s="2">
        <v>0.1</v>
      </c>
      <c r="M180" s="2">
        <v>14.81</v>
      </c>
      <c r="N180" s="2">
        <v>7.33</v>
      </c>
      <c r="O180" s="53">
        <v>65.11</v>
      </c>
    </row>
    <row r="181" spans="1:15" x14ac:dyDescent="0.25">
      <c r="A181" s="47">
        <v>44010</v>
      </c>
      <c r="B181" s="3" t="s">
        <v>36</v>
      </c>
      <c r="C181" s="3" t="s">
        <v>36</v>
      </c>
      <c r="D181" s="3" t="s">
        <v>36</v>
      </c>
      <c r="E181" s="3" t="s">
        <v>36</v>
      </c>
      <c r="F181" s="3" t="s">
        <v>36</v>
      </c>
      <c r="G181" s="3" t="s">
        <v>36</v>
      </c>
      <c r="H181" s="2">
        <v>35.549999999999997</v>
      </c>
      <c r="I181" s="2">
        <v>769.43</v>
      </c>
      <c r="J181" s="2">
        <v>1078.78</v>
      </c>
      <c r="K181" s="2">
        <v>723.18</v>
      </c>
      <c r="L181" s="2">
        <v>0.11</v>
      </c>
      <c r="M181" s="2">
        <v>14.8</v>
      </c>
      <c r="N181" s="2">
        <v>7.33</v>
      </c>
      <c r="O181" s="53">
        <v>101.61</v>
      </c>
    </row>
    <row r="182" spans="1:15" x14ac:dyDescent="0.25">
      <c r="A182" s="47">
        <v>44011</v>
      </c>
      <c r="B182" s="3" t="s">
        <v>36</v>
      </c>
      <c r="C182" s="3" t="s">
        <v>36</v>
      </c>
      <c r="D182" s="3" t="s">
        <v>36</v>
      </c>
      <c r="E182" s="3" t="s">
        <v>36</v>
      </c>
      <c r="F182" s="3" t="s">
        <v>36</v>
      </c>
      <c r="G182" s="3" t="s">
        <v>36</v>
      </c>
      <c r="H182" s="2">
        <v>41.05</v>
      </c>
      <c r="I182" s="2">
        <v>716.49</v>
      </c>
      <c r="J182" s="2">
        <v>1095.3900000000001</v>
      </c>
      <c r="K182" s="2">
        <v>729.93</v>
      </c>
      <c r="L182" s="2">
        <v>0.1</v>
      </c>
      <c r="M182" s="2">
        <v>14.94</v>
      </c>
      <c r="N182" s="2">
        <v>7.33</v>
      </c>
      <c r="O182" s="53">
        <v>95.32</v>
      </c>
    </row>
    <row r="183" spans="1:15" x14ac:dyDescent="0.25">
      <c r="A183" s="47">
        <v>44012</v>
      </c>
      <c r="B183" s="3" t="s">
        <v>36</v>
      </c>
      <c r="C183" s="3" t="s">
        <v>36</v>
      </c>
      <c r="D183" s="3" t="s">
        <v>36</v>
      </c>
      <c r="E183" s="3" t="s">
        <v>36</v>
      </c>
      <c r="F183" s="3" t="s">
        <v>36</v>
      </c>
      <c r="G183" s="3" t="s">
        <v>36</v>
      </c>
      <c r="H183" s="2">
        <v>40.909999999999997</v>
      </c>
      <c r="I183" s="2">
        <v>688.98</v>
      </c>
      <c r="J183" s="2">
        <v>1063.54</v>
      </c>
      <c r="K183" s="2">
        <v>715.57</v>
      </c>
      <c r="L183" s="2">
        <v>7.0000000000000007E-2</v>
      </c>
      <c r="M183" s="2">
        <v>14.85</v>
      </c>
      <c r="N183" s="2">
        <v>7.33</v>
      </c>
      <c r="O183" s="53">
        <v>60.32</v>
      </c>
    </row>
    <row r="184" spans="1:15" x14ac:dyDescent="0.25">
      <c r="A184" s="47">
        <v>44013</v>
      </c>
      <c r="B184" s="3" t="s">
        <v>36</v>
      </c>
      <c r="C184" s="3" t="s">
        <v>36</v>
      </c>
      <c r="D184" s="3" t="s">
        <v>36</v>
      </c>
      <c r="E184" s="3" t="s">
        <v>36</v>
      </c>
      <c r="F184" s="3" t="s">
        <v>36</v>
      </c>
      <c r="G184" s="3" t="s">
        <v>36</v>
      </c>
      <c r="H184" s="2">
        <v>38.869999999999997</v>
      </c>
      <c r="I184" s="2">
        <v>707.89</v>
      </c>
      <c r="J184" s="2">
        <v>1090.4000000000001</v>
      </c>
      <c r="K184" s="2">
        <v>678.52</v>
      </c>
      <c r="L184" s="2">
        <v>0.09</v>
      </c>
      <c r="M184" s="2">
        <v>14.47</v>
      </c>
      <c r="N184" s="2">
        <v>7.33</v>
      </c>
      <c r="O184" s="2">
        <v>32.86</v>
      </c>
    </row>
    <row r="185" spans="1:15" x14ac:dyDescent="0.25">
      <c r="A185" s="47">
        <v>44014</v>
      </c>
      <c r="B185" s="3" t="s">
        <v>36</v>
      </c>
      <c r="C185" s="3" t="s">
        <v>36</v>
      </c>
      <c r="D185" s="3" t="s">
        <v>36</v>
      </c>
      <c r="E185" s="3" t="s">
        <v>36</v>
      </c>
      <c r="F185" s="3" t="s">
        <v>36</v>
      </c>
      <c r="G185" s="3" t="s">
        <v>36</v>
      </c>
      <c r="H185" s="2">
        <v>46.65</v>
      </c>
      <c r="I185" s="2">
        <v>758.02</v>
      </c>
      <c r="J185" s="2">
        <v>1174.73</v>
      </c>
      <c r="K185" s="2">
        <v>676.33</v>
      </c>
      <c r="L185" s="2">
        <v>0.09</v>
      </c>
      <c r="M185" s="2">
        <v>13.9</v>
      </c>
      <c r="N185" s="3" t="s">
        <v>36</v>
      </c>
      <c r="O185" s="2">
        <v>49.78</v>
      </c>
    </row>
    <row r="186" spans="1:15" x14ac:dyDescent="0.25">
      <c r="A186" s="47">
        <v>44015</v>
      </c>
      <c r="B186" s="3" t="s">
        <v>36</v>
      </c>
      <c r="C186" s="3" t="s">
        <v>36</v>
      </c>
      <c r="D186" s="3" t="s">
        <v>36</v>
      </c>
      <c r="E186" s="3" t="s">
        <v>36</v>
      </c>
      <c r="F186" s="3" t="s">
        <v>36</v>
      </c>
      <c r="G186" s="3" t="s">
        <v>36</v>
      </c>
      <c r="H186" s="2">
        <v>45.13</v>
      </c>
      <c r="I186" s="2">
        <v>769.13</v>
      </c>
      <c r="J186" s="2">
        <v>1138.5899999999999</v>
      </c>
      <c r="K186" s="2">
        <v>699.37</v>
      </c>
      <c r="L186" s="2">
        <v>0.06</v>
      </c>
      <c r="M186" s="2">
        <v>14.48</v>
      </c>
      <c r="N186" s="3" t="s">
        <v>36</v>
      </c>
      <c r="O186" s="2">
        <v>13.61</v>
      </c>
    </row>
    <row r="187" spans="1:15" x14ac:dyDescent="0.25">
      <c r="A187" s="47">
        <v>44016</v>
      </c>
      <c r="B187" s="3" t="s">
        <v>36</v>
      </c>
      <c r="C187" s="3" t="s">
        <v>36</v>
      </c>
      <c r="D187" s="3" t="s">
        <v>36</v>
      </c>
      <c r="E187" s="3" t="s">
        <v>36</v>
      </c>
      <c r="F187" s="3" t="s">
        <v>36</v>
      </c>
      <c r="G187" s="3" t="s">
        <v>36</v>
      </c>
      <c r="H187" s="2">
        <v>42.77</v>
      </c>
      <c r="I187" s="2">
        <v>730.33</v>
      </c>
      <c r="J187" s="2">
        <v>1105.01</v>
      </c>
      <c r="K187" s="2">
        <v>777.98</v>
      </c>
      <c r="L187" s="2">
        <v>0.11</v>
      </c>
      <c r="M187" s="2">
        <v>14.86</v>
      </c>
      <c r="N187" s="3" t="s">
        <v>36</v>
      </c>
      <c r="O187" s="53">
        <v>61.32</v>
      </c>
    </row>
    <row r="188" spans="1:15" x14ac:dyDescent="0.25">
      <c r="A188" s="47">
        <v>44017</v>
      </c>
      <c r="B188" s="3" t="s">
        <v>36</v>
      </c>
      <c r="C188" s="3" t="s">
        <v>36</v>
      </c>
      <c r="D188" s="3" t="s">
        <v>36</v>
      </c>
      <c r="E188" s="3" t="s">
        <v>36</v>
      </c>
      <c r="F188" s="3" t="s">
        <v>36</v>
      </c>
      <c r="G188" s="3" t="s">
        <v>36</v>
      </c>
      <c r="H188" s="53">
        <v>54.35</v>
      </c>
      <c r="I188" s="2">
        <v>778.74</v>
      </c>
      <c r="J188" s="2">
        <v>1162.0999999999999</v>
      </c>
      <c r="K188" s="2">
        <v>881.6</v>
      </c>
      <c r="L188" s="2">
        <v>0.15</v>
      </c>
      <c r="M188" s="2">
        <v>15.38</v>
      </c>
      <c r="N188" s="3" t="s">
        <v>36</v>
      </c>
      <c r="O188" s="53">
        <v>54.13</v>
      </c>
    </row>
    <row r="189" spans="1:15" x14ac:dyDescent="0.25">
      <c r="A189" s="47">
        <v>44018</v>
      </c>
      <c r="B189" s="3" t="s">
        <v>36</v>
      </c>
      <c r="C189" s="3" t="s">
        <v>36</v>
      </c>
      <c r="D189" s="3" t="s">
        <v>36</v>
      </c>
      <c r="E189" s="3" t="s">
        <v>36</v>
      </c>
      <c r="F189" s="3" t="s">
        <v>36</v>
      </c>
      <c r="G189" s="3" t="s">
        <v>36</v>
      </c>
      <c r="H189" s="53">
        <v>53.88</v>
      </c>
      <c r="I189" s="2">
        <v>783.68</v>
      </c>
      <c r="J189" s="2">
        <v>1094.71</v>
      </c>
      <c r="K189" s="2">
        <v>856.58</v>
      </c>
      <c r="L189" s="2">
        <v>0.09</v>
      </c>
      <c r="M189" s="2">
        <v>15.28</v>
      </c>
      <c r="N189" s="3" t="s">
        <v>36</v>
      </c>
      <c r="O189" s="2">
        <v>15.69</v>
      </c>
    </row>
    <row r="190" spans="1:15" x14ac:dyDescent="0.25">
      <c r="A190" s="47">
        <v>44019</v>
      </c>
      <c r="B190" s="3" t="s">
        <v>36</v>
      </c>
      <c r="C190" s="3" t="s">
        <v>36</v>
      </c>
      <c r="D190" s="3" t="s">
        <v>36</v>
      </c>
      <c r="E190" s="3" t="s">
        <v>36</v>
      </c>
      <c r="F190" s="3" t="s">
        <v>36</v>
      </c>
      <c r="G190" s="3" t="s">
        <v>36</v>
      </c>
      <c r="H190" s="53">
        <v>63.45</v>
      </c>
      <c r="I190" s="2">
        <v>753.47</v>
      </c>
      <c r="J190" s="2">
        <v>1662.33</v>
      </c>
      <c r="K190" s="2">
        <v>884.82</v>
      </c>
      <c r="L190" s="2">
        <v>0.09</v>
      </c>
      <c r="M190" s="2">
        <v>15.18</v>
      </c>
      <c r="N190" s="3" t="s">
        <v>36</v>
      </c>
      <c r="O190" s="2">
        <v>0.54</v>
      </c>
    </row>
    <row r="191" spans="1:15" x14ac:dyDescent="0.25">
      <c r="A191" s="47">
        <v>44020</v>
      </c>
      <c r="B191" s="3" t="s">
        <v>36</v>
      </c>
      <c r="C191" s="3" t="s">
        <v>36</v>
      </c>
      <c r="D191" s="3" t="s">
        <v>36</v>
      </c>
      <c r="E191" s="3" t="s">
        <v>36</v>
      </c>
      <c r="F191" s="3" t="s">
        <v>36</v>
      </c>
      <c r="G191" s="3" t="s">
        <v>36</v>
      </c>
      <c r="H191" s="2">
        <v>42.08</v>
      </c>
      <c r="I191" s="2">
        <v>796.01</v>
      </c>
      <c r="J191" s="2">
        <v>1332.74</v>
      </c>
      <c r="K191" s="2">
        <v>901.87</v>
      </c>
      <c r="L191" s="2">
        <v>0.14000000000000001</v>
      </c>
      <c r="M191" s="2">
        <v>15.76</v>
      </c>
      <c r="N191" s="3" t="s">
        <v>36</v>
      </c>
      <c r="O191" s="2">
        <v>0.87</v>
      </c>
    </row>
    <row r="192" spans="1:15" x14ac:dyDescent="0.25">
      <c r="A192" s="47">
        <v>44021</v>
      </c>
      <c r="B192" s="3" t="s">
        <v>36</v>
      </c>
      <c r="C192" s="3" t="s">
        <v>36</v>
      </c>
      <c r="D192" s="3" t="s">
        <v>36</v>
      </c>
      <c r="E192" s="3" t="s">
        <v>36</v>
      </c>
      <c r="F192" s="3" t="s">
        <v>36</v>
      </c>
      <c r="G192" s="3" t="s">
        <v>36</v>
      </c>
      <c r="H192" s="2">
        <v>36.07</v>
      </c>
      <c r="I192" s="2">
        <v>761.42</v>
      </c>
      <c r="J192" s="2">
        <v>1436.69</v>
      </c>
      <c r="K192" s="2">
        <v>875.73</v>
      </c>
      <c r="L192" s="2">
        <v>0.1</v>
      </c>
      <c r="M192" s="2">
        <v>15.12</v>
      </c>
      <c r="N192" s="3" t="s">
        <v>36</v>
      </c>
      <c r="O192" s="2">
        <v>43.69</v>
      </c>
    </row>
    <row r="193" spans="1:15" x14ac:dyDescent="0.25">
      <c r="A193" s="47">
        <v>44022</v>
      </c>
      <c r="B193" s="3" t="s">
        <v>36</v>
      </c>
      <c r="C193" s="3" t="s">
        <v>36</v>
      </c>
      <c r="D193" s="3" t="s">
        <v>36</v>
      </c>
      <c r="E193" s="3" t="s">
        <v>36</v>
      </c>
      <c r="F193" s="3" t="s">
        <v>36</v>
      </c>
      <c r="G193" s="3" t="s">
        <v>36</v>
      </c>
      <c r="H193" s="2">
        <v>29.71</v>
      </c>
      <c r="I193" s="2">
        <v>776.55</v>
      </c>
      <c r="J193" s="2">
        <v>1272.1600000000001</v>
      </c>
      <c r="K193" s="2">
        <v>884.77</v>
      </c>
      <c r="L193" s="2">
        <v>0.15</v>
      </c>
      <c r="M193" s="2">
        <v>15.45</v>
      </c>
      <c r="N193" s="3" t="s">
        <v>36</v>
      </c>
      <c r="O193" s="2">
        <v>2.35</v>
      </c>
    </row>
    <row r="194" spans="1:15" x14ac:dyDescent="0.25">
      <c r="A194" s="47">
        <v>44023</v>
      </c>
      <c r="B194" s="3" t="s">
        <v>36</v>
      </c>
      <c r="C194" s="3" t="s">
        <v>36</v>
      </c>
      <c r="D194" s="3" t="s">
        <v>36</v>
      </c>
      <c r="E194" s="3" t="s">
        <v>36</v>
      </c>
      <c r="F194" s="3" t="s">
        <v>36</v>
      </c>
      <c r="G194" s="3" t="s">
        <v>36</v>
      </c>
      <c r="H194" s="2">
        <v>40.53</v>
      </c>
      <c r="I194" s="2">
        <v>699.05</v>
      </c>
      <c r="J194" s="2">
        <v>1154.96</v>
      </c>
      <c r="K194" s="2">
        <v>982.02</v>
      </c>
      <c r="L194" s="2">
        <v>0.13</v>
      </c>
      <c r="M194" s="2">
        <v>15.58</v>
      </c>
      <c r="N194" s="3" t="s">
        <v>36</v>
      </c>
      <c r="O194" s="2">
        <v>48.95</v>
      </c>
    </row>
    <row r="195" spans="1:15" x14ac:dyDescent="0.25">
      <c r="A195" s="47">
        <v>44024</v>
      </c>
      <c r="B195" s="3" t="s">
        <v>36</v>
      </c>
      <c r="C195" s="3" t="s">
        <v>36</v>
      </c>
      <c r="D195" s="3" t="s">
        <v>36</v>
      </c>
      <c r="E195" s="3" t="s">
        <v>36</v>
      </c>
      <c r="F195" s="3" t="s">
        <v>36</v>
      </c>
      <c r="G195" s="3" t="s">
        <v>36</v>
      </c>
      <c r="H195" s="2">
        <v>34.33</v>
      </c>
      <c r="I195" s="2">
        <v>788.32</v>
      </c>
      <c r="J195" s="2">
        <v>1073.21</v>
      </c>
      <c r="K195" s="2">
        <v>942.42</v>
      </c>
      <c r="L195" s="2">
        <v>0.1</v>
      </c>
      <c r="M195" s="2">
        <v>16.12</v>
      </c>
      <c r="N195" s="3" t="s">
        <v>36</v>
      </c>
      <c r="O195" s="2">
        <v>1.73</v>
      </c>
    </row>
    <row r="196" spans="1:15" x14ac:dyDescent="0.25">
      <c r="A196" s="47">
        <v>44025</v>
      </c>
      <c r="B196" s="3" t="s">
        <v>36</v>
      </c>
      <c r="C196" s="3" t="s">
        <v>36</v>
      </c>
      <c r="D196" s="3" t="s">
        <v>36</v>
      </c>
      <c r="E196" s="3" t="s">
        <v>36</v>
      </c>
      <c r="F196" s="3" t="s">
        <v>36</v>
      </c>
      <c r="G196" s="3" t="s">
        <v>36</v>
      </c>
      <c r="H196" s="2">
        <v>31.83</v>
      </c>
      <c r="I196" s="2">
        <v>784.7</v>
      </c>
      <c r="J196" s="2">
        <v>1065.71</v>
      </c>
      <c r="K196" s="2">
        <v>876.86</v>
      </c>
      <c r="L196" s="2">
        <v>0.15</v>
      </c>
      <c r="M196" s="2">
        <v>15.3</v>
      </c>
      <c r="N196" s="3" t="s">
        <v>36</v>
      </c>
      <c r="O196" s="3" t="s">
        <v>36</v>
      </c>
    </row>
    <row r="197" spans="1:15" x14ac:dyDescent="0.25">
      <c r="A197" s="47">
        <v>44026</v>
      </c>
      <c r="B197" s="3" t="s">
        <v>36</v>
      </c>
      <c r="C197" s="3" t="s">
        <v>36</v>
      </c>
      <c r="D197" s="3" t="s">
        <v>36</v>
      </c>
      <c r="E197" s="3" t="s">
        <v>36</v>
      </c>
      <c r="F197" s="3" t="s">
        <v>36</v>
      </c>
      <c r="G197" s="3" t="s">
        <v>36</v>
      </c>
      <c r="H197" s="2">
        <v>37.770000000000003</v>
      </c>
      <c r="I197" s="2">
        <v>784.01</v>
      </c>
      <c r="J197" s="2">
        <v>1008.62</v>
      </c>
      <c r="K197" s="2">
        <v>861.64</v>
      </c>
      <c r="L197" s="2">
        <v>0.08</v>
      </c>
      <c r="M197" s="2">
        <v>15.29</v>
      </c>
      <c r="N197" s="3" t="s">
        <v>36</v>
      </c>
      <c r="O197" s="2">
        <v>0.1</v>
      </c>
    </row>
    <row r="198" spans="1:15" x14ac:dyDescent="0.25">
      <c r="A198" s="47">
        <v>44027</v>
      </c>
      <c r="B198" s="3" t="s">
        <v>36</v>
      </c>
      <c r="C198" s="3" t="s">
        <v>36</v>
      </c>
      <c r="D198" s="3" t="s">
        <v>36</v>
      </c>
      <c r="E198" s="3" t="s">
        <v>36</v>
      </c>
      <c r="F198" s="3" t="s">
        <v>36</v>
      </c>
      <c r="G198" s="3" t="s">
        <v>36</v>
      </c>
      <c r="H198" s="2">
        <v>46.05</v>
      </c>
      <c r="I198" s="2">
        <v>700.06</v>
      </c>
      <c r="J198" s="2">
        <v>1077.31</v>
      </c>
      <c r="K198" s="2">
        <v>872.4</v>
      </c>
      <c r="L198" s="2">
        <v>0.1</v>
      </c>
      <c r="M198" s="2">
        <v>15.46</v>
      </c>
      <c r="N198" s="3" t="s">
        <v>36</v>
      </c>
      <c r="O198" s="53">
        <v>51.84</v>
      </c>
    </row>
    <row r="199" spans="1:15" x14ac:dyDescent="0.25">
      <c r="A199" s="47">
        <v>44028</v>
      </c>
      <c r="B199" s="3" t="s">
        <v>36</v>
      </c>
      <c r="C199" s="3" t="s">
        <v>36</v>
      </c>
      <c r="D199" s="3" t="s">
        <v>36</v>
      </c>
      <c r="E199" s="3" t="s">
        <v>36</v>
      </c>
      <c r="F199" s="3" t="s">
        <v>36</v>
      </c>
      <c r="G199" s="3" t="s">
        <v>36</v>
      </c>
      <c r="H199" s="53">
        <v>52.36</v>
      </c>
      <c r="I199" s="2">
        <v>769.86</v>
      </c>
      <c r="J199" s="2">
        <v>1088.18</v>
      </c>
      <c r="K199" s="2">
        <v>922.05</v>
      </c>
      <c r="L199" s="2">
        <v>0.12</v>
      </c>
      <c r="M199" s="2">
        <v>15.95</v>
      </c>
      <c r="N199" s="3" t="s">
        <v>36</v>
      </c>
      <c r="O199" s="2">
        <v>0.1</v>
      </c>
    </row>
    <row r="200" spans="1:15" x14ac:dyDescent="0.25">
      <c r="A200" s="47">
        <v>44029</v>
      </c>
      <c r="B200" s="3" t="s">
        <v>36</v>
      </c>
      <c r="C200" s="3" t="s">
        <v>36</v>
      </c>
      <c r="D200" s="3" t="s">
        <v>36</v>
      </c>
      <c r="E200" s="3" t="s">
        <v>36</v>
      </c>
      <c r="F200" s="3" t="s">
        <v>36</v>
      </c>
      <c r="G200" s="3" t="s">
        <v>36</v>
      </c>
      <c r="H200" s="2">
        <v>38.04</v>
      </c>
      <c r="I200" s="2">
        <v>747.6</v>
      </c>
      <c r="J200" s="2">
        <v>1031.18</v>
      </c>
      <c r="K200" s="2">
        <v>885.19</v>
      </c>
      <c r="L200" s="2">
        <v>0.14000000000000001</v>
      </c>
      <c r="M200" s="2">
        <v>15.73</v>
      </c>
      <c r="N200" s="3" t="s">
        <v>36</v>
      </c>
      <c r="O200" s="2">
        <v>41.7</v>
      </c>
    </row>
    <row r="201" spans="1:15" x14ac:dyDescent="0.25">
      <c r="A201" s="47">
        <v>44030</v>
      </c>
      <c r="B201" s="3" t="s">
        <v>36</v>
      </c>
      <c r="C201" s="3" t="s">
        <v>36</v>
      </c>
      <c r="D201" s="3" t="s">
        <v>36</v>
      </c>
      <c r="E201" s="3" t="s">
        <v>36</v>
      </c>
      <c r="F201" s="3" t="s">
        <v>36</v>
      </c>
      <c r="G201" s="3" t="s">
        <v>36</v>
      </c>
      <c r="H201" s="2">
        <v>43.83</v>
      </c>
      <c r="I201" s="2">
        <v>719.94</v>
      </c>
      <c r="J201" s="2">
        <v>1013.63</v>
      </c>
      <c r="K201" s="2">
        <v>936.63</v>
      </c>
      <c r="L201" s="2">
        <v>0.13</v>
      </c>
      <c r="M201" s="2">
        <v>15.72</v>
      </c>
      <c r="N201" s="3" t="s">
        <v>36</v>
      </c>
      <c r="O201" s="2">
        <v>43.09</v>
      </c>
    </row>
    <row r="202" spans="1:15" x14ac:dyDescent="0.25">
      <c r="A202" s="47">
        <v>44031</v>
      </c>
      <c r="B202" s="3" t="s">
        <v>36</v>
      </c>
      <c r="C202" s="3" t="s">
        <v>36</v>
      </c>
      <c r="D202" s="3" t="s">
        <v>36</v>
      </c>
      <c r="E202" s="3" t="s">
        <v>36</v>
      </c>
      <c r="F202" s="3" t="s">
        <v>36</v>
      </c>
      <c r="G202" s="3" t="s">
        <v>36</v>
      </c>
      <c r="H202" s="2">
        <v>32.78</v>
      </c>
      <c r="I202" s="2">
        <v>776.92</v>
      </c>
      <c r="J202" s="2">
        <v>1007.68</v>
      </c>
      <c r="K202" s="2">
        <v>919.28</v>
      </c>
      <c r="L202" s="2">
        <v>0.08</v>
      </c>
      <c r="M202" s="2">
        <v>15.68</v>
      </c>
      <c r="N202" s="3" t="s">
        <v>36</v>
      </c>
      <c r="O202" s="2">
        <v>45.88</v>
      </c>
    </row>
    <row r="203" spans="1:15" x14ac:dyDescent="0.25">
      <c r="A203" s="47">
        <v>44032</v>
      </c>
      <c r="B203" s="3" t="s">
        <v>36</v>
      </c>
      <c r="C203" s="3" t="s">
        <v>36</v>
      </c>
      <c r="D203" s="3" t="s">
        <v>36</v>
      </c>
      <c r="E203" s="3" t="s">
        <v>36</v>
      </c>
      <c r="F203" s="3" t="s">
        <v>36</v>
      </c>
      <c r="G203" s="3" t="s">
        <v>36</v>
      </c>
      <c r="H203" s="53">
        <v>57.76</v>
      </c>
      <c r="I203" s="2">
        <v>786.19</v>
      </c>
      <c r="J203" s="2">
        <v>1160.1099999999999</v>
      </c>
      <c r="K203" s="2">
        <v>865.24</v>
      </c>
      <c r="L203" s="2">
        <v>0.09</v>
      </c>
      <c r="M203" s="2">
        <v>15.35</v>
      </c>
      <c r="N203" s="3" t="s">
        <v>36</v>
      </c>
      <c r="O203" s="3" t="s">
        <v>36</v>
      </c>
    </row>
    <row r="204" spans="1:15" x14ac:dyDescent="0.25">
      <c r="A204" s="47">
        <v>44033</v>
      </c>
      <c r="B204" s="3" t="s">
        <v>36</v>
      </c>
      <c r="C204" s="3" t="s">
        <v>36</v>
      </c>
      <c r="D204" s="3" t="s">
        <v>36</v>
      </c>
      <c r="E204" s="3" t="s">
        <v>36</v>
      </c>
      <c r="F204" s="3" t="s">
        <v>36</v>
      </c>
      <c r="G204" s="3" t="s">
        <v>36</v>
      </c>
      <c r="H204" s="53">
        <v>50.39</v>
      </c>
      <c r="I204" s="2">
        <v>754.19</v>
      </c>
      <c r="J204" s="2">
        <v>1032.54</v>
      </c>
      <c r="K204" s="2">
        <v>908.69</v>
      </c>
      <c r="L204" s="2">
        <v>7.0000000000000007E-2</v>
      </c>
      <c r="M204" s="2">
        <v>15.67</v>
      </c>
      <c r="N204" s="3" t="s">
        <v>36</v>
      </c>
      <c r="O204" s="2">
        <v>0.39</v>
      </c>
    </row>
    <row r="205" spans="1:15" x14ac:dyDescent="0.25">
      <c r="A205" s="47">
        <v>44034</v>
      </c>
      <c r="B205" s="3" t="s">
        <v>36</v>
      </c>
      <c r="C205" s="3" t="s">
        <v>36</v>
      </c>
      <c r="D205" s="3" t="s">
        <v>36</v>
      </c>
      <c r="E205" s="3" t="s">
        <v>36</v>
      </c>
      <c r="F205" s="3" t="s">
        <v>36</v>
      </c>
      <c r="G205" s="3" t="s">
        <v>36</v>
      </c>
      <c r="H205" s="2">
        <v>38.74</v>
      </c>
      <c r="I205" s="2">
        <v>684.13</v>
      </c>
      <c r="J205" s="2">
        <v>951.3</v>
      </c>
      <c r="K205" s="2">
        <v>855.02</v>
      </c>
      <c r="L205" s="2">
        <v>0.12</v>
      </c>
      <c r="M205" s="2">
        <v>15.52</v>
      </c>
      <c r="N205" s="3" t="s">
        <v>36</v>
      </c>
      <c r="O205" s="2">
        <v>8.09</v>
      </c>
    </row>
    <row r="206" spans="1:15" x14ac:dyDescent="0.25">
      <c r="A206" s="47">
        <v>44035</v>
      </c>
      <c r="B206" s="3" t="s">
        <v>70</v>
      </c>
      <c r="C206" s="3" t="s">
        <v>70</v>
      </c>
      <c r="D206" s="3" t="s">
        <v>70</v>
      </c>
      <c r="E206" s="3" t="s">
        <v>70</v>
      </c>
      <c r="F206" s="3" t="s">
        <v>70</v>
      </c>
      <c r="G206" s="2">
        <v>15.77</v>
      </c>
      <c r="H206" s="2">
        <v>49.75</v>
      </c>
      <c r="I206" s="2">
        <v>740.83</v>
      </c>
      <c r="J206" s="2">
        <v>1077.05</v>
      </c>
      <c r="K206" s="2">
        <v>827.88</v>
      </c>
      <c r="L206" s="2">
        <v>0.08</v>
      </c>
      <c r="M206" s="2">
        <v>15.05</v>
      </c>
      <c r="N206" s="3" t="s">
        <v>36</v>
      </c>
      <c r="O206" s="2">
        <v>49.84</v>
      </c>
    </row>
    <row r="207" spans="1:15" x14ac:dyDescent="0.25">
      <c r="A207" s="47">
        <v>44036</v>
      </c>
      <c r="B207" s="3" t="s">
        <v>70</v>
      </c>
      <c r="C207" s="3" t="s">
        <v>70</v>
      </c>
      <c r="D207" s="3" t="s">
        <v>70</v>
      </c>
      <c r="E207" s="3" t="s">
        <v>70</v>
      </c>
      <c r="F207" s="3" t="s">
        <v>70</v>
      </c>
      <c r="G207" s="2">
        <v>14.18</v>
      </c>
      <c r="H207" s="2">
        <v>38.130000000000003</v>
      </c>
      <c r="I207" s="2">
        <v>690.62</v>
      </c>
      <c r="J207" s="2">
        <v>932.58</v>
      </c>
      <c r="K207" s="2">
        <v>888.54</v>
      </c>
      <c r="L207" s="2">
        <v>0.11</v>
      </c>
      <c r="M207" s="2">
        <v>15.9</v>
      </c>
      <c r="N207" s="3" t="s">
        <v>36</v>
      </c>
      <c r="O207" s="2">
        <v>1.98</v>
      </c>
    </row>
    <row r="208" spans="1:15" x14ac:dyDescent="0.25">
      <c r="A208" s="47">
        <v>44037</v>
      </c>
      <c r="B208" s="2">
        <v>3.33</v>
      </c>
      <c r="C208" s="53">
        <v>898.88</v>
      </c>
      <c r="D208" s="2">
        <v>1642.24</v>
      </c>
      <c r="E208" s="2">
        <v>1131.44</v>
      </c>
      <c r="F208" s="2">
        <v>0.68</v>
      </c>
      <c r="G208" s="2">
        <v>13.76</v>
      </c>
      <c r="H208" s="53">
        <v>57.42</v>
      </c>
      <c r="I208" s="53">
        <v>816.67</v>
      </c>
      <c r="J208" s="2">
        <v>951.61</v>
      </c>
      <c r="K208" s="2">
        <v>918.01</v>
      </c>
      <c r="L208" s="2">
        <v>0.12</v>
      </c>
      <c r="M208" s="2">
        <v>16.260000000000002</v>
      </c>
      <c r="N208" s="3" t="s">
        <v>36</v>
      </c>
      <c r="O208" s="2">
        <v>0.1</v>
      </c>
    </row>
    <row r="209" spans="1:15" x14ac:dyDescent="0.25">
      <c r="A209" s="47">
        <v>44038</v>
      </c>
      <c r="B209" s="2">
        <v>3.33</v>
      </c>
      <c r="C209" s="2">
        <v>764.04</v>
      </c>
      <c r="D209" s="2">
        <v>1086.32</v>
      </c>
      <c r="E209" s="2">
        <v>948.58</v>
      </c>
      <c r="F209" s="2">
        <v>0.74</v>
      </c>
      <c r="G209" s="2">
        <v>13.96</v>
      </c>
      <c r="H209" s="53">
        <v>78.84</v>
      </c>
      <c r="I209" s="2">
        <v>761.66</v>
      </c>
      <c r="J209" s="2">
        <v>1129.1099999999999</v>
      </c>
      <c r="K209" s="2">
        <v>826.39</v>
      </c>
      <c r="L209" s="2">
        <v>0.15</v>
      </c>
      <c r="M209" s="2">
        <v>15.69</v>
      </c>
      <c r="N209" s="3" t="s">
        <v>36</v>
      </c>
      <c r="O209" s="53">
        <v>59.46</v>
      </c>
    </row>
    <row r="210" spans="1:15" x14ac:dyDescent="0.25">
      <c r="A210" s="47">
        <v>44039</v>
      </c>
      <c r="B210" s="2">
        <v>3.21</v>
      </c>
      <c r="C210" s="2">
        <v>772.92</v>
      </c>
      <c r="D210" s="2">
        <v>1115.07</v>
      </c>
      <c r="E210" s="2">
        <v>975.27</v>
      </c>
      <c r="F210" s="2">
        <v>0.81</v>
      </c>
      <c r="G210" s="2">
        <v>14.28</v>
      </c>
      <c r="H210" s="53">
        <v>102.92</v>
      </c>
      <c r="I210" s="2">
        <v>690.97</v>
      </c>
      <c r="J210" s="2">
        <v>1237.22</v>
      </c>
      <c r="K210" s="2">
        <v>797.91</v>
      </c>
      <c r="L210" s="2">
        <v>0.1</v>
      </c>
      <c r="M210" s="2">
        <v>15.26</v>
      </c>
      <c r="N210" s="3" t="s">
        <v>36</v>
      </c>
      <c r="O210" s="53">
        <v>56.83</v>
      </c>
    </row>
    <row r="211" spans="1:15" x14ac:dyDescent="0.25">
      <c r="A211" s="47">
        <v>44040</v>
      </c>
      <c r="B211" s="2">
        <v>3.33</v>
      </c>
      <c r="C211" s="2">
        <v>757.68</v>
      </c>
      <c r="D211" s="2">
        <v>1272.4100000000001</v>
      </c>
      <c r="E211" s="2">
        <v>1004.83</v>
      </c>
      <c r="F211" s="2">
        <v>1.01</v>
      </c>
      <c r="G211" s="2">
        <v>14.31</v>
      </c>
      <c r="H211" s="53">
        <v>91.12</v>
      </c>
      <c r="I211" s="2">
        <v>702.94</v>
      </c>
      <c r="J211" s="2">
        <v>1136.76</v>
      </c>
      <c r="K211" s="2">
        <v>828.01</v>
      </c>
      <c r="L211" s="2">
        <v>0.13</v>
      </c>
      <c r="M211" s="2">
        <v>15.79</v>
      </c>
      <c r="N211" s="3" t="s">
        <v>36</v>
      </c>
      <c r="O211" s="2">
        <v>1.59</v>
      </c>
    </row>
    <row r="212" spans="1:15" x14ac:dyDescent="0.25">
      <c r="A212" s="47">
        <v>44041</v>
      </c>
      <c r="B212" s="2">
        <v>3.33</v>
      </c>
      <c r="C212" s="2">
        <v>725.06</v>
      </c>
      <c r="D212" s="2">
        <v>1259.5899999999999</v>
      </c>
      <c r="E212" s="2">
        <v>979.77</v>
      </c>
      <c r="F212" s="2">
        <v>0.9</v>
      </c>
      <c r="G212" s="2">
        <v>14.14</v>
      </c>
      <c r="H212" s="53">
        <v>71.150000000000006</v>
      </c>
      <c r="I212" s="2">
        <v>763.83</v>
      </c>
      <c r="J212" s="2">
        <v>1095.3900000000001</v>
      </c>
      <c r="K212" s="2">
        <v>866.29</v>
      </c>
      <c r="L212" s="2">
        <v>0.11</v>
      </c>
      <c r="M212" s="2">
        <v>16.079999999999998</v>
      </c>
      <c r="N212" s="3" t="s">
        <v>36</v>
      </c>
      <c r="O212" s="2">
        <v>1.03</v>
      </c>
    </row>
    <row r="213" spans="1:15" x14ac:dyDescent="0.25">
      <c r="A213" s="47">
        <v>44042</v>
      </c>
      <c r="B213" s="2">
        <v>3.9</v>
      </c>
      <c r="C213" s="2">
        <v>740.41</v>
      </c>
      <c r="D213" s="2">
        <v>1143.3900000000001</v>
      </c>
      <c r="E213" s="2">
        <v>1032.47</v>
      </c>
      <c r="F213" s="2">
        <v>0.87</v>
      </c>
      <c r="G213" s="2">
        <v>13.8</v>
      </c>
      <c r="H213" s="2">
        <v>49.15</v>
      </c>
      <c r="I213" s="2">
        <v>769.28</v>
      </c>
      <c r="J213" s="2">
        <v>1058.4000000000001</v>
      </c>
      <c r="K213" s="2">
        <v>922.7</v>
      </c>
      <c r="L213" s="2">
        <v>0.1</v>
      </c>
      <c r="M213" s="2">
        <v>15.88</v>
      </c>
      <c r="N213" s="3" t="s">
        <v>36</v>
      </c>
      <c r="O213" s="53">
        <v>55.21</v>
      </c>
    </row>
    <row r="214" spans="1:15" x14ac:dyDescent="0.25">
      <c r="A214" s="47">
        <v>44043</v>
      </c>
      <c r="B214" s="2">
        <v>3.43</v>
      </c>
      <c r="C214" s="2">
        <v>755.99</v>
      </c>
      <c r="D214" s="2">
        <v>1213.8800000000001</v>
      </c>
      <c r="E214" s="2">
        <v>1012.1</v>
      </c>
      <c r="F214" s="2">
        <v>0.93</v>
      </c>
      <c r="G214" s="2">
        <v>13.98</v>
      </c>
      <c r="H214" s="53">
        <v>51.59</v>
      </c>
      <c r="I214" s="2">
        <v>776.39</v>
      </c>
      <c r="J214" s="2">
        <v>1141.27</v>
      </c>
      <c r="K214" s="2">
        <v>952.41</v>
      </c>
      <c r="L214" s="2">
        <v>0.13</v>
      </c>
      <c r="M214" s="2">
        <v>15.94</v>
      </c>
      <c r="N214" s="3" t="s">
        <v>36</v>
      </c>
      <c r="O214" s="2">
        <v>41.93</v>
      </c>
    </row>
    <row r="215" spans="1:15" x14ac:dyDescent="0.25">
      <c r="A215" s="47">
        <v>44044</v>
      </c>
      <c r="B215" s="2">
        <v>3.45</v>
      </c>
      <c r="C215" s="2">
        <v>757.43</v>
      </c>
      <c r="D215" s="2">
        <v>1137.27</v>
      </c>
      <c r="E215" s="2">
        <v>1057.82</v>
      </c>
      <c r="F215" s="2">
        <v>0.97</v>
      </c>
      <c r="G215" s="2">
        <v>14.51</v>
      </c>
      <c r="H215" s="53">
        <v>54.48</v>
      </c>
      <c r="I215" s="2">
        <v>768.03</v>
      </c>
      <c r="J215" s="2">
        <v>1121.26</v>
      </c>
      <c r="K215" s="2">
        <v>931.3</v>
      </c>
      <c r="L215" s="2">
        <v>0.11</v>
      </c>
      <c r="M215" s="2">
        <v>15.9</v>
      </c>
      <c r="N215" s="2">
        <v>7.33</v>
      </c>
      <c r="O215" s="53">
        <v>67.47</v>
      </c>
    </row>
    <row r="216" spans="1:15" x14ac:dyDescent="0.25">
      <c r="A216" s="47">
        <v>44045</v>
      </c>
      <c r="B216" s="2">
        <v>3.5</v>
      </c>
      <c r="C216" s="2">
        <v>728.28</v>
      </c>
      <c r="D216" s="2">
        <v>1093.94</v>
      </c>
      <c r="E216" s="2">
        <v>1128.77</v>
      </c>
      <c r="F216" s="2">
        <v>0.87</v>
      </c>
      <c r="G216" s="2">
        <v>14.38</v>
      </c>
      <c r="H216" s="53">
        <v>50.75</v>
      </c>
      <c r="I216" s="2">
        <v>750.62</v>
      </c>
      <c r="J216" s="2">
        <v>1061</v>
      </c>
      <c r="K216" s="2">
        <v>1075.43</v>
      </c>
      <c r="L216" s="2">
        <v>0.14000000000000001</v>
      </c>
      <c r="M216" s="2">
        <v>16.309999999999999</v>
      </c>
      <c r="N216" s="2">
        <v>7.33</v>
      </c>
      <c r="O216" s="53">
        <v>74.47</v>
      </c>
    </row>
    <row r="217" spans="1:15" x14ac:dyDescent="0.25">
      <c r="A217" s="47">
        <v>44046</v>
      </c>
      <c r="B217" s="2">
        <v>9.41</v>
      </c>
      <c r="C217" s="2">
        <v>771.46</v>
      </c>
      <c r="D217" s="2">
        <v>1087.29</v>
      </c>
      <c r="E217" s="2">
        <v>1122.6600000000001</v>
      </c>
      <c r="F217" s="2">
        <v>0.84</v>
      </c>
      <c r="G217" s="2">
        <v>14.37</v>
      </c>
      <c r="H217" s="3" t="s">
        <v>70</v>
      </c>
      <c r="I217" s="3" t="s">
        <v>70</v>
      </c>
      <c r="J217" s="3" t="s">
        <v>70</v>
      </c>
      <c r="K217" s="3" t="s">
        <v>70</v>
      </c>
      <c r="L217" s="3" t="s">
        <v>70</v>
      </c>
      <c r="M217" s="2">
        <v>16.12</v>
      </c>
      <c r="N217" s="3" t="s">
        <v>36</v>
      </c>
      <c r="O217" s="53">
        <v>86.3</v>
      </c>
    </row>
    <row r="218" spans="1:15" x14ac:dyDescent="0.25">
      <c r="A218" s="47">
        <v>44047</v>
      </c>
      <c r="B218" s="2">
        <v>3.53</v>
      </c>
      <c r="C218" s="2">
        <v>751.08</v>
      </c>
      <c r="D218" s="2">
        <v>1317.72</v>
      </c>
      <c r="E218" s="2">
        <v>1219.1600000000001</v>
      </c>
      <c r="F218" s="2">
        <v>0.93</v>
      </c>
      <c r="G218" s="2">
        <v>14.14</v>
      </c>
      <c r="H218" s="53">
        <v>50.67</v>
      </c>
      <c r="I218" s="2">
        <v>772.76</v>
      </c>
      <c r="J218" s="2">
        <v>1022.53</v>
      </c>
      <c r="K218" s="2">
        <v>1046.77</v>
      </c>
      <c r="L218" s="2">
        <v>0.27</v>
      </c>
      <c r="M218" s="2">
        <v>16.36</v>
      </c>
      <c r="N218" s="3" t="s">
        <v>36</v>
      </c>
      <c r="O218" s="2">
        <v>39</v>
      </c>
    </row>
    <row r="219" spans="1:15" x14ac:dyDescent="0.25">
      <c r="A219" s="47">
        <v>44048</v>
      </c>
      <c r="B219" s="2">
        <v>4.71</v>
      </c>
      <c r="C219" s="2">
        <v>767.4</v>
      </c>
      <c r="D219" s="2">
        <v>1601.64</v>
      </c>
      <c r="E219" s="2">
        <v>1180.22</v>
      </c>
      <c r="F219" s="2">
        <v>0.88</v>
      </c>
      <c r="G219" s="2">
        <v>14.35</v>
      </c>
      <c r="H219" s="2">
        <v>35.36</v>
      </c>
      <c r="I219" s="2">
        <v>757.73</v>
      </c>
      <c r="J219" s="2">
        <v>1105.22</v>
      </c>
      <c r="K219" s="2">
        <v>1023.14</v>
      </c>
      <c r="L219" s="2">
        <v>0.27</v>
      </c>
      <c r="M219" s="2">
        <v>16.34</v>
      </c>
      <c r="N219" s="2">
        <v>7.33</v>
      </c>
      <c r="O219" s="2">
        <v>1.65</v>
      </c>
    </row>
    <row r="220" spans="1:15" x14ac:dyDescent="0.25">
      <c r="A220" s="47">
        <v>44049</v>
      </c>
      <c r="B220" s="2">
        <v>6.21</v>
      </c>
      <c r="C220" s="2">
        <v>746.59</v>
      </c>
      <c r="D220" s="2">
        <v>1574.76</v>
      </c>
      <c r="E220" s="2">
        <v>1178.8599999999999</v>
      </c>
      <c r="F220" s="2">
        <v>0.9</v>
      </c>
      <c r="G220" s="2">
        <v>14.15</v>
      </c>
      <c r="H220" s="3" t="s">
        <v>36</v>
      </c>
      <c r="I220" s="3" t="s">
        <v>36</v>
      </c>
      <c r="J220" s="3" t="s">
        <v>36</v>
      </c>
      <c r="K220" s="3" t="s">
        <v>36</v>
      </c>
      <c r="L220" s="3" t="s">
        <v>36</v>
      </c>
      <c r="M220" s="3" t="s">
        <v>36</v>
      </c>
      <c r="N220" s="2">
        <v>7.33</v>
      </c>
      <c r="O220" s="3" t="s">
        <v>36</v>
      </c>
    </row>
    <row r="221" spans="1:15" x14ac:dyDescent="0.25">
      <c r="A221" s="47">
        <v>44050</v>
      </c>
      <c r="B221" s="2">
        <v>5.61</v>
      </c>
      <c r="C221" s="2">
        <v>696.83</v>
      </c>
      <c r="D221" s="2">
        <v>1376.64</v>
      </c>
      <c r="E221" s="2">
        <v>1143.1400000000001</v>
      </c>
      <c r="F221" s="2">
        <v>0.96</v>
      </c>
      <c r="G221" s="2">
        <v>14.1</v>
      </c>
      <c r="H221" s="2">
        <v>34.130000000000003</v>
      </c>
      <c r="I221" s="2">
        <v>723.08</v>
      </c>
      <c r="J221" s="2">
        <v>1070.67</v>
      </c>
      <c r="K221" s="2">
        <v>1007.59</v>
      </c>
      <c r="L221" s="2">
        <v>0.05</v>
      </c>
      <c r="M221" s="2">
        <v>16.41</v>
      </c>
      <c r="N221" s="2">
        <v>7.33</v>
      </c>
      <c r="O221" s="53">
        <v>51.34</v>
      </c>
    </row>
    <row r="222" spans="1:15" x14ac:dyDescent="0.25">
      <c r="A222" s="47">
        <v>44051</v>
      </c>
      <c r="B222" s="2">
        <v>6.65</v>
      </c>
      <c r="C222" s="2">
        <v>675.27</v>
      </c>
      <c r="D222" s="2">
        <v>1590.56</v>
      </c>
      <c r="E222" s="2">
        <v>1142.3</v>
      </c>
      <c r="F222" s="2">
        <v>0.98</v>
      </c>
      <c r="G222" s="2">
        <v>13.97</v>
      </c>
      <c r="H222" s="2">
        <v>34.619999999999997</v>
      </c>
      <c r="I222" s="2">
        <v>756.08</v>
      </c>
      <c r="J222" s="2">
        <v>1150.9100000000001</v>
      </c>
      <c r="K222" s="2">
        <v>978.92</v>
      </c>
      <c r="L222" s="2">
        <v>0.1</v>
      </c>
      <c r="M222" s="2">
        <v>15.94</v>
      </c>
      <c r="N222" s="2">
        <v>7.33</v>
      </c>
      <c r="O222" s="53">
        <v>94.87</v>
      </c>
    </row>
    <row r="223" spans="1:15" x14ac:dyDescent="0.25">
      <c r="A223" s="47">
        <v>44052</v>
      </c>
      <c r="B223" s="2">
        <v>6.88</v>
      </c>
      <c r="C223" s="2">
        <v>592.87</v>
      </c>
      <c r="D223" s="2">
        <v>1715.06</v>
      </c>
      <c r="E223" s="2">
        <v>1150.51</v>
      </c>
      <c r="F223" s="2">
        <v>1</v>
      </c>
      <c r="G223" s="2">
        <v>14.29</v>
      </c>
      <c r="H223" s="2">
        <v>33.82</v>
      </c>
      <c r="I223" s="2">
        <v>626.92999999999995</v>
      </c>
      <c r="J223" s="2">
        <v>1132.68</v>
      </c>
      <c r="K223" s="2">
        <v>1018.93</v>
      </c>
      <c r="L223" s="2">
        <v>7.0000000000000007E-2</v>
      </c>
      <c r="M223" s="2">
        <v>15.97</v>
      </c>
      <c r="N223" s="2">
        <v>7.33</v>
      </c>
      <c r="O223" s="53">
        <v>78.239999999999995</v>
      </c>
    </row>
    <row r="224" spans="1:15" x14ac:dyDescent="0.25">
      <c r="A224" s="47">
        <v>44053</v>
      </c>
      <c r="B224" s="2">
        <v>5.49</v>
      </c>
      <c r="C224" s="2">
        <v>709.34</v>
      </c>
      <c r="D224" s="2">
        <v>1749.31</v>
      </c>
      <c r="E224" s="2">
        <v>1090.55</v>
      </c>
      <c r="F224" s="2">
        <v>0.96</v>
      </c>
      <c r="G224" s="2">
        <v>14</v>
      </c>
      <c r="H224" s="2">
        <v>31.34</v>
      </c>
      <c r="I224" s="2">
        <v>623.61</v>
      </c>
      <c r="J224" s="2">
        <v>1105.23</v>
      </c>
      <c r="K224" s="2">
        <v>907.25</v>
      </c>
      <c r="L224" s="2">
        <v>0.11</v>
      </c>
      <c r="M224" s="2">
        <v>15.52</v>
      </c>
      <c r="N224" s="3" t="s">
        <v>36</v>
      </c>
      <c r="O224" s="53">
        <v>67.22</v>
      </c>
    </row>
    <row r="225" spans="1:15" x14ac:dyDescent="0.25">
      <c r="A225" s="47">
        <v>44054</v>
      </c>
      <c r="B225" s="2">
        <v>6.02</v>
      </c>
      <c r="C225" s="2">
        <v>745.87</v>
      </c>
      <c r="D225" s="2">
        <v>1457.39</v>
      </c>
      <c r="E225" s="2">
        <v>993.99</v>
      </c>
      <c r="F225" s="2">
        <v>1.08</v>
      </c>
      <c r="G225" s="2">
        <v>14.27</v>
      </c>
      <c r="H225" s="2">
        <v>40.28</v>
      </c>
      <c r="I225" s="2">
        <v>699.48</v>
      </c>
      <c r="J225" s="2">
        <v>1080.5999999999999</v>
      </c>
      <c r="K225" s="2">
        <v>839.28</v>
      </c>
      <c r="L225" s="2">
        <v>0.12</v>
      </c>
      <c r="M225" s="2">
        <v>15.65</v>
      </c>
      <c r="N225" s="2">
        <v>7.33</v>
      </c>
      <c r="O225" s="2">
        <v>25.2</v>
      </c>
    </row>
    <row r="226" spans="1:15" x14ac:dyDescent="0.25">
      <c r="A226" s="47">
        <v>44055</v>
      </c>
      <c r="B226" s="2">
        <v>5.4</v>
      </c>
      <c r="C226" s="2">
        <v>721.34</v>
      </c>
      <c r="D226" s="2">
        <v>1058.07</v>
      </c>
      <c r="E226" s="2">
        <v>920.88</v>
      </c>
      <c r="F226" s="2">
        <v>1.03</v>
      </c>
      <c r="G226" s="2">
        <v>14.27</v>
      </c>
      <c r="H226" s="2">
        <v>44.67</v>
      </c>
      <c r="I226" s="2">
        <v>722.05</v>
      </c>
      <c r="J226" s="2">
        <v>1064.44</v>
      </c>
      <c r="K226" s="2">
        <v>755.96</v>
      </c>
      <c r="L226" s="2">
        <v>0.1</v>
      </c>
      <c r="M226" s="2">
        <v>15.25</v>
      </c>
      <c r="N226" s="2">
        <v>7.33</v>
      </c>
      <c r="O226" s="53">
        <v>60.76</v>
      </c>
    </row>
    <row r="227" spans="1:15" x14ac:dyDescent="0.25">
      <c r="A227" s="47">
        <v>44056</v>
      </c>
      <c r="B227" s="2">
        <v>8.48</v>
      </c>
      <c r="C227" s="2">
        <v>752.27</v>
      </c>
      <c r="D227" s="2">
        <v>1055.3399999999999</v>
      </c>
      <c r="E227" s="2">
        <v>916.8</v>
      </c>
      <c r="F227" s="2">
        <v>1.01</v>
      </c>
      <c r="G227" s="2">
        <v>14.53</v>
      </c>
      <c r="H227" s="2">
        <v>46.81</v>
      </c>
      <c r="I227" s="2">
        <v>697.88</v>
      </c>
      <c r="J227" s="2">
        <v>1014.7</v>
      </c>
      <c r="K227" s="2">
        <v>759.58</v>
      </c>
      <c r="L227" s="2">
        <v>0.13</v>
      </c>
      <c r="M227" s="2">
        <v>15.54</v>
      </c>
      <c r="N227" s="2">
        <v>7.33</v>
      </c>
      <c r="O227" s="53">
        <v>54.02</v>
      </c>
    </row>
    <row r="228" spans="1:15" x14ac:dyDescent="0.25">
      <c r="A228" s="47">
        <v>44057</v>
      </c>
      <c r="B228" s="2">
        <v>5.84</v>
      </c>
      <c r="C228" s="2">
        <v>764.69</v>
      </c>
      <c r="D228" s="2">
        <v>920.77</v>
      </c>
      <c r="E228" s="2">
        <v>918.57</v>
      </c>
      <c r="F228" s="2">
        <v>1.1299999999999999</v>
      </c>
      <c r="G228" s="2">
        <v>14.59</v>
      </c>
      <c r="H228" s="2">
        <v>40.82</v>
      </c>
      <c r="I228" s="2">
        <v>765.53</v>
      </c>
      <c r="J228" s="2">
        <v>1031.6199999999999</v>
      </c>
      <c r="K228" s="2">
        <v>709.03</v>
      </c>
      <c r="L228" s="2">
        <v>0.28999999999999998</v>
      </c>
      <c r="M228" s="2">
        <v>15.1</v>
      </c>
      <c r="N228" s="2">
        <v>7.33</v>
      </c>
      <c r="O228" s="53">
        <v>69.45</v>
      </c>
    </row>
    <row r="229" spans="1:15" x14ac:dyDescent="0.25">
      <c r="A229" s="47">
        <v>44058</v>
      </c>
      <c r="B229" s="2">
        <v>6.76</v>
      </c>
      <c r="C229" s="2">
        <v>777.21</v>
      </c>
      <c r="D229" s="2">
        <v>1068</v>
      </c>
      <c r="E229" s="2">
        <v>1005.95</v>
      </c>
      <c r="F229" s="2">
        <v>1.0900000000000001</v>
      </c>
      <c r="G229" s="2">
        <v>14.39</v>
      </c>
      <c r="H229" s="2">
        <v>42.91</v>
      </c>
      <c r="I229" s="2">
        <v>582.41999999999996</v>
      </c>
      <c r="J229" s="2">
        <v>1171.72</v>
      </c>
      <c r="K229" s="2">
        <v>812.1</v>
      </c>
      <c r="L229" s="2">
        <v>0.63</v>
      </c>
      <c r="M229" s="2">
        <v>14.9</v>
      </c>
      <c r="N229" s="2">
        <v>7.33</v>
      </c>
      <c r="O229" s="53">
        <v>93.46</v>
      </c>
    </row>
    <row r="230" spans="1:15" x14ac:dyDescent="0.25">
      <c r="A230" s="47">
        <v>44059</v>
      </c>
      <c r="B230" s="2">
        <v>8.02</v>
      </c>
      <c r="C230" s="2">
        <v>776.14</v>
      </c>
      <c r="D230" s="2">
        <v>1167.08</v>
      </c>
      <c r="E230" s="2">
        <v>1064.5</v>
      </c>
      <c r="F230" s="2">
        <v>1.05</v>
      </c>
      <c r="G230" s="2">
        <v>14.33</v>
      </c>
      <c r="H230" s="2">
        <v>48.09</v>
      </c>
      <c r="I230" s="2">
        <v>607.66</v>
      </c>
      <c r="J230" s="2">
        <v>1159.44</v>
      </c>
      <c r="K230" s="2">
        <v>840.32</v>
      </c>
      <c r="L230" s="2">
        <v>0.66</v>
      </c>
      <c r="M230" s="2">
        <v>15.16</v>
      </c>
      <c r="N230" s="2">
        <v>7.33</v>
      </c>
      <c r="O230" s="2">
        <v>23.92</v>
      </c>
    </row>
    <row r="231" spans="1:15" x14ac:dyDescent="0.25">
      <c r="A231" s="47">
        <v>44060</v>
      </c>
      <c r="B231" s="2">
        <v>8.24</v>
      </c>
      <c r="C231" s="2">
        <v>765.9</v>
      </c>
      <c r="D231" s="2">
        <v>1115.04</v>
      </c>
      <c r="E231" s="2">
        <v>1052.54</v>
      </c>
      <c r="F231" s="2">
        <v>1.1100000000000001</v>
      </c>
      <c r="G231" s="2">
        <v>14.32</v>
      </c>
      <c r="H231" s="2">
        <v>40.950000000000003</v>
      </c>
      <c r="I231" s="2">
        <v>639.52</v>
      </c>
      <c r="J231" s="2">
        <v>1082.99</v>
      </c>
      <c r="K231" s="2">
        <v>757.53</v>
      </c>
      <c r="L231" s="2">
        <v>0.8</v>
      </c>
      <c r="M231" s="2">
        <v>15.33</v>
      </c>
      <c r="N231" s="2">
        <v>7.33</v>
      </c>
      <c r="O231" s="3" t="s">
        <v>36</v>
      </c>
    </row>
    <row r="232" spans="1:15" x14ac:dyDescent="0.25">
      <c r="A232" s="47">
        <v>44061</v>
      </c>
      <c r="B232" s="2">
        <v>7.6</v>
      </c>
      <c r="C232" s="2">
        <v>745.63</v>
      </c>
      <c r="D232" s="2">
        <v>1100.68</v>
      </c>
      <c r="E232" s="2">
        <v>972.65</v>
      </c>
      <c r="F232" s="2">
        <v>1.07</v>
      </c>
      <c r="G232" s="2">
        <v>14.2</v>
      </c>
      <c r="H232" s="2">
        <v>35.67</v>
      </c>
      <c r="I232" s="2">
        <v>648.6</v>
      </c>
      <c r="J232" s="2">
        <v>1088.81</v>
      </c>
      <c r="K232" s="2">
        <v>771.84</v>
      </c>
      <c r="L232" s="2">
        <v>0.68</v>
      </c>
      <c r="M232" s="2">
        <v>15.27</v>
      </c>
      <c r="N232" s="2">
        <v>7.33</v>
      </c>
      <c r="O232" s="53">
        <v>64.97</v>
      </c>
    </row>
    <row r="233" spans="1:15" x14ac:dyDescent="0.25">
      <c r="A233" s="47">
        <v>44062</v>
      </c>
      <c r="B233" s="2">
        <v>8.25</v>
      </c>
      <c r="C233" s="2">
        <v>728.03</v>
      </c>
      <c r="D233" s="2">
        <v>1162.3699999999999</v>
      </c>
      <c r="E233" s="2">
        <v>1003.06</v>
      </c>
      <c r="F233" s="2">
        <v>1.03</v>
      </c>
      <c r="G233" s="2">
        <v>14.34</v>
      </c>
      <c r="H233" s="2">
        <v>31.85</v>
      </c>
      <c r="I233" s="2">
        <v>603.48</v>
      </c>
      <c r="J233" s="2">
        <v>1112.1400000000001</v>
      </c>
      <c r="K233" s="2">
        <v>780.84</v>
      </c>
      <c r="L233" s="2">
        <v>0.63</v>
      </c>
      <c r="M233" s="2">
        <v>15.35</v>
      </c>
      <c r="N233" s="2">
        <v>7.33</v>
      </c>
      <c r="O233" s="53">
        <v>101.92</v>
      </c>
    </row>
    <row r="234" spans="1:15" x14ac:dyDescent="0.25">
      <c r="A234" s="47">
        <v>44063</v>
      </c>
      <c r="B234" s="2">
        <v>8.2899999999999991</v>
      </c>
      <c r="C234" s="2">
        <v>764.94</v>
      </c>
      <c r="D234" s="2">
        <v>1046.27</v>
      </c>
      <c r="E234" s="2">
        <v>901.23</v>
      </c>
      <c r="F234" s="2">
        <v>1.05</v>
      </c>
      <c r="G234" s="2">
        <v>14.35</v>
      </c>
      <c r="H234" s="2">
        <v>38.42</v>
      </c>
      <c r="I234" s="2">
        <v>638.08000000000004</v>
      </c>
      <c r="J234" s="2">
        <v>1190.17</v>
      </c>
      <c r="K234" s="2">
        <v>752.51</v>
      </c>
      <c r="L234" s="2">
        <v>0.59</v>
      </c>
      <c r="M234" s="2">
        <v>15.27</v>
      </c>
      <c r="N234" s="2">
        <v>7.33</v>
      </c>
      <c r="O234" s="53">
        <v>101.14</v>
      </c>
    </row>
    <row r="235" spans="1:15" x14ac:dyDescent="0.25">
      <c r="A235" s="47">
        <v>44064</v>
      </c>
      <c r="B235" s="2">
        <v>8.48</v>
      </c>
      <c r="C235" s="2">
        <v>775.75</v>
      </c>
      <c r="D235" s="2">
        <v>986.46</v>
      </c>
      <c r="E235" s="2">
        <v>906.43</v>
      </c>
      <c r="F235" s="2">
        <v>1.08</v>
      </c>
      <c r="G235" s="2">
        <v>14.24</v>
      </c>
      <c r="H235" s="2">
        <v>37.94</v>
      </c>
      <c r="I235" s="2">
        <v>678.22</v>
      </c>
      <c r="J235" s="2">
        <v>1041.75</v>
      </c>
      <c r="K235" s="2">
        <v>709.92</v>
      </c>
      <c r="L235" s="2">
        <v>0.66</v>
      </c>
      <c r="M235" s="2">
        <v>15.24</v>
      </c>
      <c r="N235" s="2">
        <v>7.33</v>
      </c>
      <c r="O235" s="3" t="s">
        <v>36</v>
      </c>
    </row>
    <row r="236" spans="1:15" x14ac:dyDescent="0.25">
      <c r="A236" s="47">
        <v>44065</v>
      </c>
      <c r="B236" s="2">
        <v>10.37</v>
      </c>
      <c r="C236" s="2">
        <v>775.84</v>
      </c>
      <c r="D236" s="2">
        <v>969.63</v>
      </c>
      <c r="E236" s="2">
        <v>883.28</v>
      </c>
      <c r="F236" s="2">
        <v>1.1299999999999999</v>
      </c>
      <c r="G236" s="2">
        <v>14.27</v>
      </c>
      <c r="H236" s="2">
        <v>34.79</v>
      </c>
      <c r="I236" s="2">
        <v>788.57</v>
      </c>
      <c r="J236" s="2">
        <v>1025.05</v>
      </c>
      <c r="K236" s="2">
        <v>828.55</v>
      </c>
      <c r="L236" s="2">
        <v>1.03</v>
      </c>
      <c r="M236" s="2">
        <v>15.77</v>
      </c>
      <c r="N236" s="2">
        <v>7.33</v>
      </c>
      <c r="O236" s="3" t="s">
        <v>36</v>
      </c>
    </row>
    <row r="237" spans="1:15" x14ac:dyDescent="0.25">
      <c r="A237" s="47">
        <v>44066</v>
      </c>
      <c r="B237" s="2">
        <v>10.61</v>
      </c>
      <c r="C237" s="2">
        <v>776</v>
      </c>
      <c r="D237" s="2">
        <v>1011.52</v>
      </c>
      <c r="E237" s="2">
        <v>952.59</v>
      </c>
      <c r="F237" s="2">
        <v>1.1200000000000001</v>
      </c>
      <c r="G237" s="2">
        <v>14.44</v>
      </c>
      <c r="H237" s="2">
        <v>40.14</v>
      </c>
      <c r="I237" s="2">
        <v>775.09</v>
      </c>
      <c r="J237" s="2">
        <v>1097.6300000000001</v>
      </c>
      <c r="K237" s="2">
        <v>850.7</v>
      </c>
      <c r="L237" s="2">
        <v>1.02</v>
      </c>
      <c r="M237" s="2">
        <v>15.64</v>
      </c>
      <c r="N237" s="2">
        <v>7.33</v>
      </c>
      <c r="O237" s="3" t="s">
        <v>36</v>
      </c>
    </row>
    <row r="238" spans="1:15" x14ac:dyDescent="0.25">
      <c r="A238" s="47">
        <v>44067</v>
      </c>
      <c r="B238" s="2">
        <v>15.34</v>
      </c>
      <c r="C238" s="2">
        <v>768.61</v>
      </c>
      <c r="D238" s="2">
        <v>1096.55</v>
      </c>
      <c r="E238" s="2">
        <v>962.05</v>
      </c>
      <c r="F238" s="2">
        <v>1.08</v>
      </c>
      <c r="G238" s="2">
        <v>14.41</v>
      </c>
      <c r="H238" s="53">
        <v>52.32</v>
      </c>
      <c r="I238" s="2">
        <v>774.92</v>
      </c>
      <c r="J238" s="2">
        <v>1122.29</v>
      </c>
      <c r="K238" s="2">
        <v>807.9</v>
      </c>
      <c r="L238" s="2">
        <v>1.18</v>
      </c>
      <c r="M238" s="2">
        <v>15.49</v>
      </c>
      <c r="N238" s="2">
        <v>7.33</v>
      </c>
      <c r="O238" s="3" t="s">
        <v>36</v>
      </c>
    </row>
    <row r="239" spans="1:15" x14ac:dyDescent="0.25">
      <c r="A239" s="47">
        <v>44068</v>
      </c>
      <c r="B239" s="2">
        <v>9.5299999999999994</v>
      </c>
      <c r="C239" s="2">
        <v>770.92</v>
      </c>
      <c r="D239" s="2">
        <v>1090.6199999999999</v>
      </c>
      <c r="E239" s="2">
        <v>959.94</v>
      </c>
      <c r="F239" s="2">
        <v>1</v>
      </c>
      <c r="G239" s="2">
        <v>14.17</v>
      </c>
      <c r="H239" s="2">
        <v>49.94</v>
      </c>
      <c r="I239" s="53">
        <v>915.69</v>
      </c>
      <c r="J239" s="2">
        <v>1171.5</v>
      </c>
      <c r="K239" s="2">
        <v>931.32</v>
      </c>
      <c r="L239" s="2">
        <v>1.32</v>
      </c>
      <c r="M239" s="2">
        <v>16.18</v>
      </c>
      <c r="N239" s="2">
        <v>7.33</v>
      </c>
      <c r="O239" s="2">
        <v>38.880000000000003</v>
      </c>
    </row>
    <row r="240" spans="1:15" x14ac:dyDescent="0.25">
      <c r="A240" s="47">
        <v>44069</v>
      </c>
      <c r="B240" s="2">
        <v>11.19</v>
      </c>
      <c r="C240" s="2">
        <v>758.83</v>
      </c>
      <c r="D240" s="2">
        <v>1057.8900000000001</v>
      </c>
      <c r="E240" s="2">
        <v>975.24</v>
      </c>
      <c r="F240" s="2">
        <v>1.05</v>
      </c>
      <c r="G240" s="2">
        <v>14.24</v>
      </c>
      <c r="H240" s="2">
        <v>45.54</v>
      </c>
      <c r="I240" s="2">
        <v>768.81</v>
      </c>
      <c r="J240" s="2">
        <v>1122.31</v>
      </c>
      <c r="K240" s="2">
        <v>883.58</v>
      </c>
      <c r="L240" s="2">
        <v>1.2</v>
      </c>
      <c r="M240" s="2">
        <v>15.98</v>
      </c>
      <c r="N240" s="3" t="s">
        <v>36</v>
      </c>
      <c r="O240" s="2">
        <v>41.75</v>
      </c>
    </row>
    <row r="241" spans="1:15" x14ac:dyDescent="0.25">
      <c r="A241" s="47">
        <v>44070</v>
      </c>
      <c r="B241" s="2">
        <v>12.86</v>
      </c>
      <c r="C241" s="2">
        <v>775.07</v>
      </c>
      <c r="D241" s="2">
        <v>1146.93</v>
      </c>
      <c r="E241" s="2">
        <v>954.23</v>
      </c>
      <c r="F241" s="2">
        <v>1.02</v>
      </c>
      <c r="G241" s="2">
        <v>13.96</v>
      </c>
      <c r="H241" s="2">
        <v>38.89</v>
      </c>
      <c r="I241" s="53">
        <v>817.49</v>
      </c>
      <c r="J241" s="2">
        <v>1067.31</v>
      </c>
      <c r="K241" s="2">
        <v>762.57</v>
      </c>
      <c r="L241" s="2">
        <v>0.85</v>
      </c>
      <c r="M241" s="2">
        <v>15.51</v>
      </c>
      <c r="N241" s="3" t="s">
        <v>36</v>
      </c>
      <c r="O241" s="2">
        <v>27.03</v>
      </c>
    </row>
    <row r="242" spans="1:15" x14ac:dyDescent="0.25">
      <c r="A242" s="47">
        <v>44071</v>
      </c>
      <c r="B242" s="2">
        <v>13.03</v>
      </c>
      <c r="C242" s="2">
        <v>772.2</v>
      </c>
      <c r="D242" s="2">
        <v>1216.76</v>
      </c>
      <c r="E242" s="2">
        <v>975.06</v>
      </c>
      <c r="F242" s="2">
        <v>1</v>
      </c>
      <c r="G242" s="2">
        <v>14.25</v>
      </c>
      <c r="H242" s="3" t="s">
        <v>70</v>
      </c>
      <c r="I242" s="3" t="s">
        <v>70</v>
      </c>
      <c r="J242" s="3" t="s">
        <v>70</v>
      </c>
      <c r="K242" s="3" t="s">
        <v>70</v>
      </c>
      <c r="L242" s="3" t="s">
        <v>70</v>
      </c>
      <c r="M242" s="2">
        <v>15.03</v>
      </c>
      <c r="N242" s="3" t="s">
        <v>36</v>
      </c>
      <c r="O242" s="2">
        <v>1.08</v>
      </c>
    </row>
    <row r="243" spans="1:15" x14ac:dyDescent="0.25">
      <c r="A243" s="47">
        <v>44072</v>
      </c>
      <c r="B243" s="2">
        <v>10.1</v>
      </c>
      <c r="C243" s="2">
        <v>777.01</v>
      </c>
      <c r="D243" s="2">
        <v>1178.69</v>
      </c>
      <c r="E243" s="2">
        <v>971.45</v>
      </c>
      <c r="F243" s="2">
        <v>0.87</v>
      </c>
      <c r="G243" s="2">
        <v>14.31</v>
      </c>
      <c r="H243" s="2">
        <v>35.270000000000003</v>
      </c>
      <c r="I243" s="2">
        <v>789.82</v>
      </c>
      <c r="J243" s="2">
        <v>1001.3</v>
      </c>
      <c r="K243" s="2">
        <v>744.14</v>
      </c>
      <c r="L243" s="2">
        <v>0.94</v>
      </c>
      <c r="M243" s="2">
        <v>15.39</v>
      </c>
      <c r="N243" s="3" t="s">
        <v>36</v>
      </c>
      <c r="O243" s="53">
        <v>53.36</v>
      </c>
    </row>
    <row r="244" spans="1:15" x14ac:dyDescent="0.25">
      <c r="A244" s="47">
        <v>44073</v>
      </c>
      <c r="B244" s="2">
        <v>14.17</v>
      </c>
      <c r="C244" s="2">
        <v>775.57</v>
      </c>
      <c r="D244" s="2">
        <v>1147.96</v>
      </c>
      <c r="E244" s="2">
        <v>928.39</v>
      </c>
      <c r="F244" s="2">
        <v>0.79</v>
      </c>
      <c r="G244" s="2">
        <v>14.17</v>
      </c>
      <c r="H244" s="2">
        <v>36.25</v>
      </c>
      <c r="I244" s="2">
        <v>780.94</v>
      </c>
      <c r="J244" s="2">
        <v>1130.06</v>
      </c>
      <c r="K244" s="2">
        <v>769.16</v>
      </c>
      <c r="L244" s="2">
        <v>0.79</v>
      </c>
      <c r="M244" s="2">
        <v>15.39</v>
      </c>
      <c r="N244" s="3" t="s">
        <v>36</v>
      </c>
      <c r="O244" s="2">
        <v>36.39</v>
      </c>
    </row>
    <row r="245" spans="1:15" x14ac:dyDescent="0.25">
      <c r="A245" s="47">
        <v>44074</v>
      </c>
      <c r="B245" s="2">
        <v>22.51</v>
      </c>
      <c r="C245" s="2">
        <v>767.7</v>
      </c>
      <c r="D245" s="2">
        <v>1060.19</v>
      </c>
      <c r="E245" s="2">
        <v>883.64</v>
      </c>
      <c r="F245" s="2">
        <v>0.8</v>
      </c>
      <c r="G245" s="2">
        <v>14.21</v>
      </c>
      <c r="H245" s="2">
        <v>37.26</v>
      </c>
      <c r="I245" s="2">
        <v>771.15</v>
      </c>
      <c r="J245" s="2">
        <v>1065.49</v>
      </c>
      <c r="K245" s="2">
        <v>736.01</v>
      </c>
      <c r="L245" s="2">
        <v>1.04</v>
      </c>
      <c r="M245" s="2">
        <v>15.5</v>
      </c>
      <c r="N245" s="3" t="s">
        <v>36</v>
      </c>
      <c r="O245" s="2">
        <v>1.65</v>
      </c>
    </row>
    <row r="246" spans="1:15" x14ac:dyDescent="0.25">
      <c r="A246" s="47">
        <v>44075</v>
      </c>
      <c r="B246" s="2">
        <v>20.92</v>
      </c>
      <c r="C246" s="53">
        <v>854.89</v>
      </c>
      <c r="D246" s="2">
        <v>1080.76</v>
      </c>
      <c r="E246" s="2">
        <v>842.88</v>
      </c>
      <c r="F246" s="2">
        <v>0.85</v>
      </c>
      <c r="G246" s="2">
        <v>14.04</v>
      </c>
      <c r="H246" s="2">
        <v>36.229999999999997</v>
      </c>
      <c r="I246" s="53">
        <v>847.11</v>
      </c>
      <c r="J246" s="2">
        <v>1121.4100000000001</v>
      </c>
      <c r="K246" s="2">
        <v>747.69</v>
      </c>
      <c r="L246" s="2">
        <v>0.95</v>
      </c>
      <c r="M246" s="2">
        <v>15.36</v>
      </c>
      <c r="N246" s="3" t="s">
        <v>36</v>
      </c>
      <c r="O246" s="2">
        <v>23.19</v>
      </c>
    </row>
    <row r="247" spans="1:15" x14ac:dyDescent="0.25">
      <c r="A247" s="47">
        <v>44076</v>
      </c>
      <c r="B247" s="2">
        <v>21.89</v>
      </c>
      <c r="C247" s="53">
        <v>1028.3599999999999</v>
      </c>
      <c r="D247" s="2">
        <v>1019.64</v>
      </c>
      <c r="E247" s="2">
        <v>847.37</v>
      </c>
      <c r="F247" s="2">
        <v>0.81</v>
      </c>
      <c r="G247" s="2">
        <v>14.34</v>
      </c>
      <c r="H247" s="2">
        <v>29.54</v>
      </c>
      <c r="I247" s="53">
        <v>1009</v>
      </c>
      <c r="J247" s="2">
        <v>951.25</v>
      </c>
      <c r="K247" s="2">
        <v>708.76</v>
      </c>
      <c r="L247" s="2">
        <v>1</v>
      </c>
      <c r="M247" s="2">
        <v>15.78</v>
      </c>
      <c r="N247" s="3" t="s">
        <v>36</v>
      </c>
      <c r="O247" s="3" t="s">
        <v>36</v>
      </c>
    </row>
    <row r="248" spans="1:15" x14ac:dyDescent="0.25">
      <c r="A248" s="47">
        <v>44077</v>
      </c>
      <c r="B248" s="2">
        <v>26.29</v>
      </c>
      <c r="C248" s="2">
        <v>776.38</v>
      </c>
      <c r="D248" s="2">
        <v>993.09</v>
      </c>
      <c r="E248" s="2">
        <v>846.13</v>
      </c>
      <c r="F248" s="2">
        <v>0.8</v>
      </c>
      <c r="G248" s="2">
        <v>14.24</v>
      </c>
      <c r="H248" s="2">
        <v>30.15</v>
      </c>
      <c r="I248" s="53">
        <v>930.86</v>
      </c>
      <c r="J248" s="2">
        <v>1098.44</v>
      </c>
      <c r="K248" s="2">
        <v>691.74</v>
      </c>
      <c r="L248" s="2">
        <v>0.92</v>
      </c>
      <c r="M248" s="2">
        <v>15.16</v>
      </c>
      <c r="N248" s="3" t="s">
        <v>36</v>
      </c>
      <c r="O248" s="2">
        <v>1.06</v>
      </c>
    </row>
    <row r="249" spans="1:15" x14ac:dyDescent="0.25">
      <c r="A249" s="47">
        <v>44078</v>
      </c>
      <c r="B249" s="2">
        <v>36.83</v>
      </c>
      <c r="C249" s="2">
        <v>767</v>
      </c>
      <c r="D249" s="2">
        <v>1014.73</v>
      </c>
      <c r="E249" s="2">
        <v>844.05</v>
      </c>
      <c r="F249" s="2">
        <v>0.91</v>
      </c>
      <c r="G249" s="2">
        <v>13.92</v>
      </c>
      <c r="H249" s="2">
        <v>26.62</v>
      </c>
      <c r="I249" s="2">
        <v>754.04</v>
      </c>
      <c r="J249" s="2">
        <v>940.91</v>
      </c>
      <c r="K249" s="2">
        <v>636.42999999999995</v>
      </c>
      <c r="L249" s="2">
        <v>0.88</v>
      </c>
      <c r="M249" s="2">
        <v>15.01</v>
      </c>
      <c r="N249" s="3" t="s">
        <v>36</v>
      </c>
      <c r="O249" s="2">
        <v>1.76</v>
      </c>
    </row>
    <row r="250" spans="1:15" x14ac:dyDescent="0.25">
      <c r="A250" s="47">
        <v>44079</v>
      </c>
      <c r="B250" s="2">
        <v>40</v>
      </c>
      <c r="C250" s="2">
        <v>771.32</v>
      </c>
      <c r="D250" s="2">
        <v>1046.8399999999999</v>
      </c>
      <c r="E250" s="2">
        <v>899.15</v>
      </c>
      <c r="F250" s="2">
        <v>0.82</v>
      </c>
      <c r="G250" s="2">
        <v>13.99</v>
      </c>
      <c r="H250" s="2">
        <v>30.61</v>
      </c>
      <c r="I250" s="53">
        <v>851.51</v>
      </c>
      <c r="J250" s="2">
        <v>1106.73</v>
      </c>
      <c r="K250" s="2">
        <v>656.51</v>
      </c>
      <c r="L250" s="2">
        <v>0.81</v>
      </c>
      <c r="M250" s="2">
        <v>14.73</v>
      </c>
      <c r="N250" s="3" t="s">
        <v>36</v>
      </c>
      <c r="O250" s="2">
        <v>1.64</v>
      </c>
    </row>
    <row r="251" spans="1:15" x14ac:dyDescent="0.25">
      <c r="A251" s="47">
        <v>44080</v>
      </c>
      <c r="B251" s="2">
        <v>42.85</v>
      </c>
      <c r="C251" s="2">
        <v>776.16</v>
      </c>
      <c r="D251" s="2">
        <v>1040.8</v>
      </c>
      <c r="E251" s="2">
        <v>893.43</v>
      </c>
      <c r="F251" s="2">
        <v>0.78</v>
      </c>
      <c r="G251" s="2">
        <v>14.25</v>
      </c>
      <c r="H251" s="2">
        <v>28.73</v>
      </c>
      <c r="I251" s="2">
        <v>791.96</v>
      </c>
      <c r="J251" s="2">
        <v>1029.18</v>
      </c>
      <c r="K251" s="2">
        <v>668.65</v>
      </c>
      <c r="L251" s="2">
        <v>0.84</v>
      </c>
      <c r="M251" s="2">
        <v>14.84</v>
      </c>
      <c r="N251" s="3" t="s">
        <v>36</v>
      </c>
      <c r="O251" s="2">
        <v>1.94</v>
      </c>
    </row>
    <row r="252" spans="1:15" x14ac:dyDescent="0.25">
      <c r="A252" s="47">
        <v>44081</v>
      </c>
      <c r="B252" s="2">
        <v>42.73</v>
      </c>
      <c r="C252" s="2">
        <v>776.64</v>
      </c>
      <c r="D252" s="2">
        <v>1030.8699999999999</v>
      </c>
      <c r="E252" s="2">
        <v>880.97</v>
      </c>
      <c r="F252" s="2">
        <v>0.82</v>
      </c>
      <c r="G252" s="2">
        <v>14.25</v>
      </c>
      <c r="H252" s="2">
        <v>29.45</v>
      </c>
      <c r="I252" s="2">
        <v>762.54</v>
      </c>
      <c r="J252" s="2">
        <v>1043.8800000000001</v>
      </c>
      <c r="K252" s="2">
        <v>656.77</v>
      </c>
      <c r="L252" s="2">
        <v>1.05</v>
      </c>
      <c r="M252" s="2">
        <v>14.61</v>
      </c>
      <c r="N252" s="3" t="s">
        <v>36</v>
      </c>
      <c r="O252" s="2">
        <v>1.79</v>
      </c>
    </row>
    <row r="253" spans="1:15" x14ac:dyDescent="0.25">
      <c r="A253" s="47">
        <v>44082</v>
      </c>
      <c r="B253" s="53">
        <v>52.44</v>
      </c>
      <c r="C253" s="2">
        <v>768.72</v>
      </c>
      <c r="D253" s="2">
        <v>1424.7</v>
      </c>
      <c r="E253" s="2">
        <v>879.13</v>
      </c>
      <c r="F253" s="2">
        <v>0.75</v>
      </c>
      <c r="G253" s="2">
        <v>14.14</v>
      </c>
      <c r="H253" s="2">
        <v>28.11</v>
      </c>
      <c r="I253" s="2">
        <v>782.69</v>
      </c>
      <c r="J253" s="2">
        <v>1128.69</v>
      </c>
      <c r="K253" s="2">
        <v>686.19</v>
      </c>
      <c r="L253" s="2">
        <v>0.81</v>
      </c>
      <c r="M253" s="2">
        <v>15.08</v>
      </c>
      <c r="N253" s="3" t="s">
        <v>36</v>
      </c>
      <c r="O253" s="2">
        <v>2.0099999999999998</v>
      </c>
    </row>
    <row r="254" spans="1:15" x14ac:dyDescent="0.25">
      <c r="A254" s="47">
        <v>44083</v>
      </c>
      <c r="B254" s="53">
        <v>59.15</v>
      </c>
      <c r="C254" s="53">
        <v>911.56</v>
      </c>
      <c r="D254" s="2">
        <v>1133.17</v>
      </c>
      <c r="E254" s="2">
        <v>863.86</v>
      </c>
      <c r="F254" s="2">
        <v>0.83</v>
      </c>
      <c r="G254" s="2">
        <v>13.8</v>
      </c>
      <c r="H254" s="2">
        <v>28.86</v>
      </c>
      <c r="I254" s="53">
        <v>926.64</v>
      </c>
      <c r="J254" s="2">
        <v>1134.98</v>
      </c>
      <c r="K254" s="2">
        <v>715.78</v>
      </c>
      <c r="L254" s="2">
        <v>0.89</v>
      </c>
      <c r="M254" s="2">
        <v>15.15</v>
      </c>
      <c r="N254" s="3" t="s">
        <v>36</v>
      </c>
      <c r="O254" s="2">
        <v>1.2</v>
      </c>
    </row>
    <row r="255" spans="1:15" x14ac:dyDescent="0.25">
      <c r="A255" s="47">
        <v>44084</v>
      </c>
      <c r="B255" s="2">
        <v>32.06</v>
      </c>
      <c r="C255" s="2">
        <v>774.14</v>
      </c>
      <c r="D255" s="2">
        <v>1045.74</v>
      </c>
      <c r="E255" s="2">
        <v>869.17</v>
      </c>
      <c r="F255" s="2">
        <v>1.02</v>
      </c>
      <c r="G255" s="2">
        <v>14.44</v>
      </c>
      <c r="H255" s="2">
        <v>30.03</v>
      </c>
      <c r="I255" s="2">
        <v>751.96</v>
      </c>
      <c r="J255" s="2">
        <v>1081.78</v>
      </c>
      <c r="K255" s="2">
        <v>667.18</v>
      </c>
      <c r="L255" s="2">
        <v>0.79</v>
      </c>
      <c r="M255" s="2">
        <v>15.01</v>
      </c>
      <c r="N255" s="3" t="s">
        <v>36</v>
      </c>
      <c r="O255" s="2">
        <v>1.82</v>
      </c>
    </row>
    <row r="256" spans="1:15" x14ac:dyDescent="0.25">
      <c r="A256" s="47">
        <v>44085</v>
      </c>
      <c r="B256" s="2">
        <v>17.52</v>
      </c>
      <c r="C256" s="2">
        <v>769.14</v>
      </c>
      <c r="D256" s="2">
        <v>1049.98</v>
      </c>
      <c r="E256" s="2">
        <v>833.48</v>
      </c>
      <c r="F256" s="2">
        <v>0.94</v>
      </c>
      <c r="G256" s="2">
        <v>14.04</v>
      </c>
      <c r="H256" s="2">
        <v>30.57</v>
      </c>
      <c r="I256" s="2">
        <v>741.62</v>
      </c>
      <c r="J256" s="2">
        <v>1100.75</v>
      </c>
      <c r="K256" s="2">
        <v>656.69</v>
      </c>
      <c r="L256" s="2">
        <v>0.81</v>
      </c>
      <c r="M256" s="2">
        <v>14.94</v>
      </c>
      <c r="N256" s="3" t="s">
        <v>36</v>
      </c>
      <c r="O256" s="2">
        <v>2.04</v>
      </c>
    </row>
    <row r="257" spans="1:15" x14ac:dyDescent="0.25">
      <c r="A257" s="47">
        <v>44086</v>
      </c>
      <c r="B257" s="2">
        <v>20.14</v>
      </c>
      <c r="C257" s="2">
        <v>774.69</v>
      </c>
      <c r="D257" s="2">
        <v>1245.3699999999999</v>
      </c>
      <c r="E257" s="2">
        <v>868.84</v>
      </c>
      <c r="F257" s="2">
        <v>0.94</v>
      </c>
      <c r="G257" s="2">
        <v>14.27</v>
      </c>
      <c r="H257" s="2">
        <v>33.68</v>
      </c>
      <c r="I257" s="2">
        <v>748.9</v>
      </c>
      <c r="J257" s="2">
        <v>1034.1099999999999</v>
      </c>
      <c r="K257" s="2">
        <v>646.79</v>
      </c>
      <c r="L257" s="2">
        <v>0.81</v>
      </c>
      <c r="M257" s="2">
        <v>14.75</v>
      </c>
      <c r="N257" s="3" t="s">
        <v>36</v>
      </c>
      <c r="O257" s="2">
        <v>2.02</v>
      </c>
    </row>
    <row r="258" spans="1:15" x14ac:dyDescent="0.25">
      <c r="A258" s="47">
        <v>44087</v>
      </c>
      <c r="B258" s="2">
        <v>20.14</v>
      </c>
      <c r="C258" s="2">
        <v>776.7</v>
      </c>
      <c r="D258" s="2">
        <v>1066.7</v>
      </c>
      <c r="E258" s="2">
        <v>896.19</v>
      </c>
      <c r="F258" s="2">
        <v>0.95</v>
      </c>
      <c r="G258" s="2">
        <v>14.4</v>
      </c>
      <c r="H258" s="2">
        <v>32.42</v>
      </c>
      <c r="I258" s="2">
        <v>775.59</v>
      </c>
      <c r="J258" s="2">
        <v>1101.78</v>
      </c>
      <c r="K258" s="2">
        <v>691.74</v>
      </c>
      <c r="L258" s="2">
        <v>0.82</v>
      </c>
      <c r="M258" s="2">
        <v>15.14</v>
      </c>
      <c r="N258" s="3" t="s">
        <v>36</v>
      </c>
      <c r="O258" s="2">
        <v>1.64</v>
      </c>
    </row>
    <row r="259" spans="1:15" x14ac:dyDescent="0.25">
      <c r="A259" s="47">
        <v>44088</v>
      </c>
      <c r="B259" s="2">
        <v>22.66</v>
      </c>
      <c r="C259" s="2">
        <v>776.54</v>
      </c>
      <c r="D259" s="2">
        <v>1503.05</v>
      </c>
      <c r="E259" s="2">
        <v>899.66</v>
      </c>
      <c r="F259" s="2">
        <v>1.01</v>
      </c>
      <c r="G259" s="2">
        <v>14.35</v>
      </c>
      <c r="H259" s="2">
        <v>34.25</v>
      </c>
      <c r="I259" s="2">
        <v>739.42</v>
      </c>
      <c r="J259" s="2">
        <v>1078.24</v>
      </c>
      <c r="K259" s="2">
        <v>703.85</v>
      </c>
      <c r="L259" s="2">
        <v>0.82</v>
      </c>
      <c r="M259" s="2">
        <v>15.2</v>
      </c>
      <c r="N259" s="3" t="s">
        <v>36</v>
      </c>
      <c r="O259" s="2">
        <v>1.78</v>
      </c>
    </row>
    <row r="260" spans="1:15" x14ac:dyDescent="0.25">
      <c r="A260" s="47">
        <v>44089</v>
      </c>
      <c r="B260" s="2">
        <v>22.83</v>
      </c>
      <c r="C260" s="2">
        <v>775.45</v>
      </c>
      <c r="D260" s="2">
        <v>1569.55</v>
      </c>
      <c r="E260" s="2">
        <v>908.92</v>
      </c>
      <c r="F260" s="2">
        <v>1.1599999999999999</v>
      </c>
      <c r="G260" s="2">
        <v>14.21</v>
      </c>
      <c r="H260" s="2">
        <v>34.86</v>
      </c>
      <c r="I260" s="2">
        <v>762.71</v>
      </c>
      <c r="J260" s="2">
        <v>1098.32</v>
      </c>
      <c r="K260" s="2">
        <v>699.32</v>
      </c>
      <c r="L260" s="2">
        <v>0.79</v>
      </c>
      <c r="M260" s="2">
        <v>15.21</v>
      </c>
      <c r="N260" s="3" t="s">
        <v>36</v>
      </c>
      <c r="O260" s="2">
        <v>1.58</v>
      </c>
    </row>
    <row r="261" spans="1:15" x14ac:dyDescent="0.25">
      <c r="A261" s="47">
        <v>44090</v>
      </c>
      <c r="B261" s="2">
        <v>22.95</v>
      </c>
      <c r="C261" s="2">
        <v>763.53</v>
      </c>
      <c r="D261" s="2">
        <v>1301.96</v>
      </c>
      <c r="E261" s="2">
        <v>920.23</v>
      </c>
      <c r="F261" s="2">
        <v>0.89</v>
      </c>
      <c r="G261" s="2">
        <v>14.4</v>
      </c>
      <c r="H261" s="2">
        <v>40.31</v>
      </c>
      <c r="I261" s="53">
        <v>886.17</v>
      </c>
      <c r="J261" s="2">
        <v>1186.93</v>
      </c>
      <c r="K261" s="2">
        <v>767.95</v>
      </c>
      <c r="L261" s="2">
        <v>0.85</v>
      </c>
      <c r="M261" s="2">
        <v>15.36</v>
      </c>
      <c r="N261" s="3" t="s">
        <v>36</v>
      </c>
      <c r="O261" s="2">
        <v>1.6</v>
      </c>
    </row>
    <row r="262" spans="1:15" x14ac:dyDescent="0.25">
      <c r="A262" s="47">
        <v>44091</v>
      </c>
      <c r="B262" s="2">
        <v>28.08</v>
      </c>
      <c r="C262" s="2">
        <v>731</v>
      </c>
      <c r="D262" s="2">
        <v>1037.7</v>
      </c>
      <c r="E262" s="2">
        <v>963.92</v>
      </c>
      <c r="F262" s="2">
        <v>1</v>
      </c>
      <c r="G262" s="2">
        <v>14.25</v>
      </c>
      <c r="H262" s="2">
        <v>35.340000000000003</v>
      </c>
      <c r="I262" s="2">
        <v>744.05</v>
      </c>
      <c r="J262" s="2">
        <v>1069.43</v>
      </c>
      <c r="K262" s="2">
        <v>740.51</v>
      </c>
      <c r="L262" s="2">
        <v>0.82</v>
      </c>
      <c r="M262" s="2">
        <v>15.38</v>
      </c>
      <c r="N262" s="3" t="s">
        <v>36</v>
      </c>
      <c r="O262" s="2">
        <v>1.74</v>
      </c>
    </row>
    <row r="263" spans="1:15" x14ac:dyDescent="0.25">
      <c r="A263" s="47">
        <v>44092</v>
      </c>
      <c r="B263" s="2">
        <v>29.4</v>
      </c>
      <c r="C263" s="2">
        <v>745.03</v>
      </c>
      <c r="D263" s="2">
        <v>1032.46</v>
      </c>
      <c r="E263" s="2">
        <v>995.18</v>
      </c>
      <c r="F263" s="2">
        <v>0.94</v>
      </c>
      <c r="G263" s="2">
        <v>14.04</v>
      </c>
      <c r="H263" s="2">
        <v>33.08</v>
      </c>
      <c r="I263" s="2">
        <v>714.82</v>
      </c>
      <c r="J263" s="2">
        <v>985.64</v>
      </c>
      <c r="K263" s="2">
        <v>696.63</v>
      </c>
      <c r="L263" s="2">
        <v>0.84</v>
      </c>
      <c r="M263" s="2">
        <v>15.23</v>
      </c>
      <c r="N263" s="3" t="s">
        <v>36</v>
      </c>
      <c r="O263" s="2">
        <v>1.98</v>
      </c>
    </row>
    <row r="264" spans="1:15" x14ac:dyDescent="0.25">
      <c r="A264" s="47">
        <v>44093</v>
      </c>
      <c r="B264" s="3" t="s">
        <v>36</v>
      </c>
      <c r="C264" s="3" t="s">
        <v>36</v>
      </c>
      <c r="D264" s="3" t="s">
        <v>36</v>
      </c>
      <c r="E264" s="3" t="s">
        <v>36</v>
      </c>
      <c r="F264" s="3" t="s">
        <v>36</v>
      </c>
      <c r="G264" s="3" t="s">
        <v>36</v>
      </c>
      <c r="H264" s="2">
        <v>35.43</v>
      </c>
      <c r="I264" s="2">
        <v>785.4</v>
      </c>
      <c r="J264" s="2">
        <v>1047.6199999999999</v>
      </c>
      <c r="K264" s="2">
        <v>722.98</v>
      </c>
      <c r="L264" s="2">
        <v>0.84</v>
      </c>
      <c r="M264" s="2">
        <v>15.45</v>
      </c>
      <c r="N264" s="3" t="s">
        <v>36</v>
      </c>
      <c r="O264" s="2">
        <v>1.6</v>
      </c>
    </row>
    <row r="265" spans="1:15" x14ac:dyDescent="0.25">
      <c r="A265" s="47">
        <v>44094</v>
      </c>
      <c r="B265" s="3" t="s">
        <v>36</v>
      </c>
      <c r="C265" s="3" t="s">
        <v>36</v>
      </c>
      <c r="D265" s="3" t="s">
        <v>36</v>
      </c>
      <c r="E265" s="3" t="s">
        <v>36</v>
      </c>
      <c r="F265" s="3" t="s">
        <v>36</v>
      </c>
      <c r="G265" s="3" t="s">
        <v>36</v>
      </c>
      <c r="H265" s="2">
        <v>38.46</v>
      </c>
      <c r="I265" s="2">
        <v>769.77</v>
      </c>
      <c r="J265" s="2">
        <v>1075.31</v>
      </c>
      <c r="K265" s="2">
        <v>745.05</v>
      </c>
      <c r="L265" s="2">
        <v>0.87</v>
      </c>
      <c r="M265" s="2">
        <v>15.52</v>
      </c>
      <c r="N265" s="3" t="s">
        <v>36</v>
      </c>
      <c r="O265" s="2">
        <v>2.04</v>
      </c>
    </row>
    <row r="266" spans="1:15" x14ac:dyDescent="0.25">
      <c r="A266" s="47">
        <v>44095</v>
      </c>
      <c r="B266" s="3" t="s">
        <v>36</v>
      </c>
      <c r="C266" s="3" t="s">
        <v>36</v>
      </c>
      <c r="D266" s="3" t="s">
        <v>36</v>
      </c>
      <c r="E266" s="3" t="s">
        <v>36</v>
      </c>
      <c r="F266" s="3" t="s">
        <v>36</v>
      </c>
      <c r="G266" s="3" t="s">
        <v>36</v>
      </c>
      <c r="H266" s="2">
        <v>37.979999999999997</v>
      </c>
      <c r="I266" s="2">
        <v>741.58</v>
      </c>
      <c r="J266" s="2">
        <v>1026.47</v>
      </c>
      <c r="K266" s="2">
        <v>681.92</v>
      </c>
      <c r="L266" s="2">
        <v>0.9</v>
      </c>
      <c r="M266" s="2">
        <v>15.48</v>
      </c>
      <c r="N266" s="3" t="s">
        <v>36</v>
      </c>
      <c r="O266" s="2">
        <v>1.0900000000000001</v>
      </c>
    </row>
    <row r="267" spans="1:15" x14ac:dyDescent="0.25">
      <c r="A267" s="47">
        <v>44096</v>
      </c>
      <c r="B267" s="3" t="s">
        <v>36</v>
      </c>
      <c r="C267" s="3" t="s">
        <v>36</v>
      </c>
      <c r="D267" s="3" t="s">
        <v>36</v>
      </c>
      <c r="E267" s="3" t="s">
        <v>36</v>
      </c>
      <c r="F267" s="3" t="s">
        <v>36</v>
      </c>
      <c r="G267" s="3" t="s">
        <v>36</v>
      </c>
      <c r="H267" s="2">
        <v>38.33</v>
      </c>
      <c r="I267" s="2">
        <v>767.64</v>
      </c>
      <c r="J267" s="2">
        <v>1077.19</v>
      </c>
      <c r="K267" s="2">
        <v>641.95000000000005</v>
      </c>
      <c r="L267" s="2">
        <v>0.85</v>
      </c>
      <c r="M267" s="2">
        <v>15.07</v>
      </c>
      <c r="N267" s="3" t="s">
        <v>36</v>
      </c>
      <c r="O267" s="2">
        <v>2.0499999999999998</v>
      </c>
    </row>
    <row r="268" spans="1:15" x14ac:dyDescent="0.25">
      <c r="A268" s="47">
        <v>44097</v>
      </c>
      <c r="B268" s="3" t="s">
        <v>36</v>
      </c>
      <c r="C268" s="3" t="s">
        <v>36</v>
      </c>
      <c r="D268" s="3" t="s">
        <v>36</v>
      </c>
      <c r="E268" s="3" t="s">
        <v>36</v>
      </c>
      <c r="F268" s="3" t="s">
        <v>36</v>
      </c>
      <c r="G268" s="3" t="s">
        <v>36</v>
      </c>
      <c r="H268" s="2">
        <v>37.909999999999997</v>
      </c>
      <c r="I268" s="2">
        <v>681.47</v>
      </c>
      <c r="J268" s="2">
        <v>1003.85</v>
      </c>
      <c r="K268" s="2">
        <v>654.59</v>
      </c>
      <c r="L268" s="2">
        <v>0.82</v>
      </c>
      <c r="M268" s="2">
        <v>15.2</v>
      </c>
      <c r="N268" s="3" t="s">
        <v>36</v>
      </c>
      <c r="O268" s="2">
        <v>2.0299999999999998</v>
      </c>
    </row>
    <row r="269" spans="1:15" x14ac:dyDescent="0.25">
      <c r="A269" s="47">
        <v>44098</v>
      </c>
      <c r="B269" s="3" t="s">
        <v>36</v>
      </c>
      <c r="C269" s="3" t="s">
        <v>36</v>
      </c>
      <c r="D269" s="3" t="s">
        <v>36</v>
      </c>
      <c r="E269" s="3" t="s">
        <v>36</v>
      </c>
      <c r="F269" s="3" t="s">
        <v>36</v>
      </c>
      <c r="G269" s="3" t="s">
        <v>36</v>
      </c>
      <c r="H269" s="2">
        <v>40.68</v>
      </c>
      <c r="I269" s="2">
        <v>660.13</v>
      </c>
      <c r="J269" s="2">
        <v>1126.76</v>
      </c>
      <c r="K269" s="2">
        <v>701.12</v>
      </c>
      <c r="L269" s="2">
        <v>0.79</v>
      </c>
      <c r="M269" s="2">
        <v>14.94</v>
      </c>
      <c r="N269" s="3" t="s">
        <v>36</v>
      </c>
      <c r="O269" s="2">
        <v>1.99</v>
      </c>
    </row>
    <row r="270" spans="1:15" x14ac:dyDescent="0.25">
      <c r="A270" s="47">
        <v>44099</v>
      </c>
      <c r="B270" s="3" t="s">
        <v>36</v>
      </c>
      <c r="C270" s="3" t="s">
        <v>36</v>
      </c>
      <c r="D270" s="3" t="s">
        <v>36</v>
      </c>
      <c r="E270" s="3" t="s">
        <v>36</v>
      </c>
      <c r="F270" s="3" t="s">
        <v>36</v>
      </c>
      <c r="G270" s="3" t="s">
        <v>36</v>
      </c>
      <c r="H270" s="2">
        <v>37.06</v>
      </c>
      <c r="I270" s="2">
        <v>634.89</v>
      </c>
      <c r="J270" s="2">
        <v>1059.8900000000001</v>
      </c>
      <c r="K270" s="2">
        <v>698.64</v>
      </c>
      <c r="L270" s="2">
        <v>0.78</v>
      </c>
      <c r="M270" s="2">
        <v>14.82</v>
      </c>
      <c r="N270" s="3" t="s">
        <v>36</v>
      </c>
      <c r="O270" s="2">
        <v>1.65</v>
      </c>
    </row>
    <row r="271" spans="1:15" x14ac:dyDescent="0.25">
      <c r="A271" s="47">
        <v>44100</v>
      </c>
      <c r="B271" s="3" t="s">
        <v>70</v>
      </c>
      <c r="C271" s="3" t="s">
        <v>70</v>
      </c>
      <c r="D271" s="3" t="s">
        <v>70</v>
      </c>
      <c r="E271" s="3" t="s">
        <v>70</v>
      </c>
      <c r="F271" s="3" t="s">
        <v>70</v>
      </c>
      <c r="G271" s="2">
        <v>13.51</v>
      </c>
      <c r="H271" s="2">
        <v>38.369999999999997</v>
      </c>
      <c r="I271" s="2">
        <v>671.06</v>
      </c>
      <c r="J271" s="2">
        <v>1129.76</v>
      </c>
      <c r="K271" s="2">
        <v>712.08</v>
      </c>
      <c r="L271" s="2">
        <v>0.74</v>
      </c>
      <c r="M271" s="2">
        <v>14.57</v>
      </c>
      <c r="N271" s="3" t="s">
        <v>36</v>
      </c>
      <c r="O271" s="2">
        <v>1.98</v>
      </c>
    </row>
    <row r="272" spans="1:15" x14ac:dyDescent="0.25">
      <c r="A272" s="47">
        <v>44101</v>
      </c>
      <c r="B272" s="2">
        <v>2.16</v>
      </c>
      <c r="C272" s="2">
        <v>784.03</v>
      </c>
      <c r="D272" s="2">
        <v>1350.93</v>
      </c>
      <c r="E272" s="2">
        <v>878.11</v>
      </c>
      <c r="F272" s="2">
        <v>0.88</v>
      </c>
      <c r="G272" s="2">
        <v>13.72</v>
      </c>
      <c r="H272" s="2">
        <v>36.159999999999997</v>
      </c>
      <c r="I272" s="2">
        <v>676.14</v>
      </c>
      <c r="J272" s="2">
        <v>1030.76</v>
      </c>
      <c r="K272" s="2">
        <v>699.66</v>
      </c>
      <c r="L272" s="2">
        <v>0.69</v>
      </c>
      <c r="M272" s="2">
        <v>14.54</v>
      </c>
      <c r="N272" s="3" t="s">
        <v>36</v>
      </c>
      <c r="O272" s="2">
        <v>1.99</v>
      </c>
    </row>
    <row r="273" spans="1:15" x14ac:dyDescent="0.25">
      <c r="A273" s="47">
        <v>44102</v>
      </c>
      <c r="B273" s="2">
        <v>2.86</v>
      </c>
      <c r="C273" s="2">
        <v>758.49</v>
      </c>
      <c r="D273" s="2">
        <v>1412.25</v>
      </c>
      <c r="E273" s="2">
        <v>897.7</v>
      </c>
      <c r="F273" s="2">
        <v>0.97</v>
      </c>
      <c r="G273" s="2">
        <v>13.71</v>
      </c>
      <c r="H273" s="2">
        <v>35.72</v>
      </c>
      <c r="I273" s="2">
        <v>694.51</v>
      </c>
      <c r="J273" s="2">
        <v>1053.76</v>
      </c>
      <c r="K273" s="2">
        <v>642.77</v>
      </c>
      <c r="L273" s="2">
        <v>0.74</v>
      </c>
      <c r="M273" s="2">
        <v>14.48</v>
      </c>
      <c r="N273" s="3" t="s">
        <v>36</v>
      </c>
      <c r="O273" s="2">
        <v>1.98</v>
      </c>
    </row>
    <row r="274" spans="1:15" x14ac:dyDescent="0.25">
      <c r="A274" s="47">
        <v>44103</v>
      </c>
      <c r="B274" s="2">
        <v>2.77</v>
      </c>
      <c r="C274" s="2">
        <v>772.4</v>
      </c>
      <c r="D274" s="2">
        <v>1086.1300000000001</v>
      </c>
      <c r="E274" s="2">
        <v>908.76</v>
      </c>
      <c r="F274" s="2">
        <v>1.1200000000000001</v>
      </c>
      <c r="G274" s="2">
        <v>14.28</v>
      </c>
      <c r="H274" s="2">
        <v>36.67</v>
      </c>
      <c r="I274" s="2">
        <v>699.36</v>
      </c>
      <c r="J274" s="2">
        <v>1056.7</v>
      </c>
      <c r="K274" s="2">
        <v>642.87</v>
      </c>
      <c r="L274" s="2">
        <v>0.78</v>
      </c>
      <c r="M274" s="2">
        <v>14.66</v>
      </c>
      <c r="N274" s="3" t="s">
        <v>36</v>
      </c>
      <c r="O274" s="2">
        <v>1.58</v>
      </c>
    </row>
    <row r="275" spans="1:15" x14ac:dyDescent="0.25">
      <c r="A275" s="47">
        <v>44104</v>
      </c>
      <c r="B275" s="2">
        <v>1.19</v>
      </c>
      <c r="C275" s="2">
        <v>776.71</v>
      </c>
      <c r="D275" s="2">
        <v>1391.15</v>
      </c>
      <c r="E275" s="2">
        <v>841.64</v>
      </c>
      <c r="F275" s="2">
        <v>1.07</v>
      </c>
      <c r="G275" s="2">
        <v>14.03</v>
      </c>
      <c r="H275" s="2">
        <v>38.549999999999997</v>
      </c>
      <c r="I275" s="2">
        <v>679.01</v>
      </c>
      <c r="J275" s="2">
        <v>1086.95</v>
      </c>
      <c r="K275" s="2">
        <v>678.22</v>
      </c>
      <c r="L275" s="2">
        <v>0.7</v>
      </c>
      <c r="M275" s="2">
        <v>14.73</v>
      </c>
      <c r="N275" s="3" t="s">
        <v>36</v>
      </c>
      <c r="O275" s="2">
        <v>2.04</v>
      </c>
    </row>
    <row r="276" spans="1:15" x14ac:dyDescent="0.25">
      <c r="A276" s="47">
        <v>44105</v>
      </c>
      <c r="B276" s="2">
        <v>1</v>
      </c>
      <c r="C276" s="2">
        <v>778.86</v>
      </c>
      <c r="D276" s="2">
        <v>1025.0999999999999</v>
      </c>
      <c r="E276" s="2">
        <v>845.08</v>
      </c>
      <c r="F276" s="2">
        <v>0.95</v>
      </c>
      <c r="G276" s="2">
        <v>14.15</v>
      </c>
      <c r="H276" s="2">
        <v>41.59</v>
      </c>
      <c r="I276" s="2">
        <v>726.25</v>
      </c>
      <c r="J276" s="2">
        <v>1220.4100000000001</v>
      </c>
      <c r="K276" s="2">
        <v>709.33</v>
      </c>
      <c r="L276" s="2">
        <v>0.76</v>
      </c>
      <c r="M276" s="2">
        <v>14.79</v>
      </c>
      <c r="N276" s="3" t="s">
        <v>36</v>
      </c>
      <c r="O276" s="2">
        <v>1.74</v>
      </c>
    </row>
    <row r="277" spans="1:15" x14ac:dyDescent="0.25">
      <c r="A277" s="47">
        <v>44106</v>
      </c>
      <c r="B277" s="2">
        <v>1</v>
      </c>
      <c r="C277" s="2">
        <v>776.08</v>
      </c>
      <c r="D277" s="2">
        <v>930.84</v>
      </c>
      <c r="E277" s="2">
        <v>913.64</v>
      </c>
      <c r="F277" s="2">
        <v>0.97</v>
      </c>
      <c r="G277" s="2">
        <v>14.2</v>
      </c>
      <c r="H277" s="2">
        <v>39.46</v>
      </c>
      <c r="I277" s="2">
        <v>711.98</v>
      </c>
      <c r="J277" s="2">
        <v>1156.6300000000001</v>
      </c>
      <c r="K277" s="2">
        <v>717.09</v>
      </c>
      <c r="L277" s="2">
        <v>0.72</v>
      </c>
      <c r="M277" s="2">
        <v>14.64</v>
      </c>
      <c r="N277" s="3" t="s">
        <v>36</v>
      </c>
      <c r="O277" s="2">
        <v>2.0499999999999998</v>
      </c>
    </row>
    <row r="278" spans="1:15" x14ac:dyDescent="0.25">
      <c r="A278" s="47">
        <v>44107</v>
      </c>
      <c r="B278" s="2">
        <v>1</v>
      </c>
      <c r="C278" s="2">
        <v>776.3</v>
      </c>
      <c r="D278" s="2">
        <v>989.77</v>
      </c>
      <c r="E278" s="2">
        <v>896.69</v>
      </c>
      <c r="F278" s="2">
        <v>0.92</v>
      </c>
      <c r="G278" s="2">
        <v>13.83</v>
      </c>
      <c r="H278" s="2">
        <v>31.42</v>
      </c>
      <c r="I278" s="2">
        <v>682.8</v>
      </c>
      <c r="J278" s="2">
        <v>1080.44</v>
      </c>
      <c r="K278" s="2">
        <v>718.29</v>
      </c>
      <c r="L278" s="2">
        <v>0.73</v>
      </c>
      <c r="M278" s="2">
        <v>14.74</v>
      </c>
      <c r="N278" s="3" t="s">
        <v>36</v>
      </c>
      <c r="O278" s="2">
        <v>1.76</v>
      </c>
    </row>
    <row r="279" spans="1:15" x14ac:dyDescent="0.25">
      <c r="A279" s="47">
        <v>44108</v>
      </c>
      <c r="B279" s="2">
        <v>1</v>
      </c>
      <c r="C279" s="2">
        <v>777.01</v>
      </c>
      <c r="D279" s="2">
        <v>1004.08</v>
      </c>
      <c r="E279" s="2">
        <v>865.3</v>
      </c>
      <c r="F279" s="2">
        <v>0.93</v>
      </c>
      <c r="G279" s="2">
        <v>13.63</v>
      </c>
      <c r="H279" s="2">
        <v>35.36</v>
      </c>
      <c r="I279" s="2">
        <v>700.06</v>
      </c>
      <c r="J279" s="2">
        <v>1134.5999999999999</v>
      </c>
      <c r="K279" s="2">
        <v>711.22</v>
      </c>
      <c r="L279" s="2">
        <v>0.74</v>
      </c>
      <c r="M279" s="2">
        <v>14.63</v>
      </c>
      <c r="N279" s="3" t="s">
        <v>36</v>
      </c>
      <c r="O279" s="2">
        <v>2.0499999999999998</v>
      </c>
    </row>
    <row r="280" spans="1:15" x14ac:dyDescent="0.25">
      <c r="A280" s="47">
        <v>44109</v>
      </c>
      <c r="B280" s="2">
        <v>1</v>
      </c>
      <c r="C280" s="2">
        <v>772.99</v>
      </c>
      <c r="D280" s="2">
        <v>941.26</v>
      </c>
      <c r="E280" s="2">
        <v>838.12</v>
      </c>
      <c r="F280" s="2">
        <v>1.08</v>
      </c>
      <c r="G280" s="2">
        <v>13.98</v>
      </c>
      <c r="H280" s="2">
        <v>31.92</v>
      </c>
      <c r="I280" s="2">
        <v>770.24</v>
      </c>
      <c r="J280" s="2">
        <v>1026.83</v>
      </c>
      <c r="K280" s="2">
        <v>662.57</v>
      </c>
      <c r="L280" s="2">
        <v>0.73</v>
      </c>
      <c r="M280" s="2">
        <v>14.79</v>
      </c>
      <c r="N280" s="3" t="s">
        <v>36</v>
      </c>
      <c r="O280" s="2">
        <v>1.5</v>
      </c>
    </row>
    <row r="281" spans="1:15" x14ac:dyDescent="0.25">
      <c r="A281" s="47">
        <v>44110</v>
      </c>
      <c r="B281" s="2">
        <v>1</v>
      </c>
      <c r="C281" s="2">
        <v>753.36</v>
      </c>
      <c r="D281" s="2">
        <v>1015.08</v>
      </c>
      <c r="E281" s="2">
        <v>832.44</v>
      </c>
      <c r="F281" s="2">
        <v>1.1399999999999999</v>
      </c>
      <c r="G281" s="2">
        <v>14.32</v>
      </c>
      <c r="H281" s="2">
        <v>29.52</v>
      </c>
      <c r="I281" s="2">
        <v>728.02</v>
      </c>
      <c r="J281" s="2">
        <v>1043.5</v>
      </c>
      <c r="K281" s="2">
        <v>661.9</v>
      </c>
      <c r="L281" s="2">
        <v>0.74</v>
      </c>
      <c r="M281" s="2">
        <v>14.97</v>
      </c>
      <c r="N281" s="3" t="s">
        <v>36</v>
      </c>
      <c r="O281" s="2">
        <v>1.9</v>
      </c>
    </row>
    <row r="282" spans="1:15" x14ac:dyDescent="0.25">
      <c r="A282" s="47">
        <v>44111</v>
      </c>
      <c r="B282" s="2">
        <v>1</v>
      </c>
      <c r="C282" s="2">
        <v>776.75</v>
      </c>
      <c r="D282" s="2">
        <v>1054.6500000000001</v>
      </c>
      <c r="E282" s="2">
        <v>875.94</v>
      </c>
      <c r="F282" s="2">
        <v>1.01</v>
      </c>
      <c r="G282" s="2">
        <v>14.09</v>
      </c>
      <c r="H282" s="2">
        <v>25.34</v>
      </c>
      <c r="I282" s="2">
        <v>776.23</v>
      </c>
      <c r="J282" s="2">
        <v>1060.75</v>
      </c>
      <c r="K282" s="2">
        <v>694.47</v>
      </c>
      <c r="L282" s="2">
        <v>0.7</v>
      </c>
      <c r="M282" s="2">
        <v>14.92</v>
      </c>
      <c r="N282" s="3" t="s">
        <v>36</v>
      </c>
      <c r="O282" s="2">
        <v>2.0099999999999998</v>
      </c>
    </row>
    <row r="283" spans="1:15" x14ac:dyDescent="0.25">
      <c r="A283" s="47">
        <v>44112</v>
      </c>
      <c r="B283" s="2">
        <v>1</v>
      </c>
      <c r="C283" s="2">
        <v>791.7</v>
      </c>
      <c r="D283" s="2">
        <v>996.47</v>
      </c>
      <c r="E283" s="2">
        <v>854.23</v>
      </c>
      <c r="F283" s="2">
        <v>1.08</v>
      </c>
      <c r="G283" s="2">
        <v>14.09</v>
      </c>
      <c r="H283" s="2">
        <v>24.08</v>
      </c>
      <c r="I283" s="53">
        <v>844.16</v>
      </c>
      <c r="J283" s="2">
        <v>1153.72</v>
      </c>
      <c r="K283" s="2">
        <v>749.54</v>
      </c>
      <c r="L283" s="2">
        <v>0.82</v>
      </c>
      <c r="M283" s="2">
        <v>15.27</v>
      </c>
      <c r="N283" s="3" t="s">
        <v>36</v>
      </c>
      <c r="O283" s="2">
        <v>1.97</v>
      </c>
    </row>
    <row r="284" spans="1:15" x14ac:dyDescent="0.25">
      <c r="A284" s="47">
        <v>44113</v>
      </c>
      <c r="B284" s="2">
        <v>1</v>
      </c>
      <c r="C284" s="2">
        <v>780.11</v>
      </c>
      <c r="D284" s="2">
        <v>918.1</v>
      </c>
      <c r="E284" s="2">
        <v>750.98</v>
      </c>
      <c r="F284" s="2">
        <v>1.18</v>
      </c>
      <c r="G284" s="2">
        <v>13.82</v>
      </c>
      <c r="H284" s="2">
        <v>26.63</v>
      </c>
      <c r="I284" s="53">
        <v>864.03</v>
      </c>
      <c r="J284" s="2">
        <v>1147.79</v>
      </c>
      <c r="K284" s="2">
        <v>730.59</v>
      </c>
      <c r="L284" s="2">
        <v>0.9</v>
      </c>
      <c r="M284" s="2">
        <v>15.18</v>
      </c>
      <c r="N284" s="3" t="s">
        <v>36</v>
      </c>
      <c r="O284" s="2">
        <v>2</v>
      </c>
    </row>
    <row r="285" spans="1:15" x14ac:dyDescent="0.25">
      <c r="A285" s="47">
        <v>44114</v>
      </c>
      <c r="B285" s="2">
        <v>1</v>
      </c>
      <c r="C285" s="2">
        <v>774.85</v>
      </c>
      <c r="D285" s="2">
        <v>939.14</v>
      </c>
      <c r="E285" s="2">
        <v>725.45</v>
      </c>
      <c r="F285" s="2">
        <v>1.1599999999999999</v>
      </c>
      <c r="G285" s="2">
        <v>13.79</v>
      </c>
      <c r="H285" s="2">
        <v>23.82</v>
      </c>
      <c r="I285" s="2">
        <v>773.73</v>
      </c>
      <c r="J285" s="2">
        <v>1094.0899999999999</v>
      </c>
      <c r="K285" s="2">
        <v>651.20000000000005</v>
      </c>
      <c r="L285" s="2">
        <v>0.82</v>
      </c>
      <c r="M285" s="2">
        <v>15.06</v>
      </c>
      <c r="N285" s="3" t="s">
        <v>36</v>
      </c>
      <c r="O285" s="2">
        <v>1.91</v>
      </c>
    </row>
    <row r="286" spans="1:15" x14ac:dyDescent="0.25">
      <c r="A286" s="47">
        <v>44115</v>
      </c>
      <c r="B286" s="2">
        <v>1.01</v>
      </c>
      <c r="C286" s="2">
        <v>779.19</v>
      </c>
      <c r="D286" s="2">
        <v>1005.08</v>
      </c>
      <c r="E286" s="2">
        <v>754.85</v>
      </c>
      <c r="F286" s="2">
        <v>1.05</v>
      </c>
      <c r="G286" s="2">
        <v>13.5</v>
      </c>
      <c r="H286" s="2">
        <v>25.93</v>
      </c>
      <c r="I286" s="53">
        <v>845.94</v>
      </c>
      <c r="J286" s="2">
        <v>1090.06</v>
      </c>
      <c r="K286" s="2">
        <v>688.98</v>
      </c>
      <c r="L286" s="2">
        <v>0.68</v>
      </c>
      <c r="M286" s="2">
        <v>15.12</v>
      </c>
      <c r="N286" s="3" t="s">
        <v>36</v>
      </c>
      <c r="O286" s="2">
        <v>1.81</v>
      </c>
    </row>
    <row r="287" spans="1:15" x14ac:dyDescent="0.25">
      <c r="A287" s="47">
        <v>44116</v>
      </c>
      <c r="B287" s="2">
        <v>1</v>
      </c>
      <c r="C287" s="2">
        <v>776.53</v>
      </c>
      <c r="D287" s="2">
        <v>902.58</v>
      </c>
      <c r="E287" s="2">
        <v>760.5</v>
      </c>
      <c r="F287" s="2">
        <v>1.01</v>
      </c>
      <c r="G287" s="2">
        <v>13.74</v>
      </c>
      <c r="H287" s="2">
        <v>27.3</v>
      </c>
      <c r="I287" s="53">
        <v>820.39</v>
      </c>
      <c r="J287" s="2">
        <v>1108.52</v>
      </c>
      <c r="K287" s="2">
        <v>707.28</v>
      </c>
      <c r="L287" s="2">
        <v>0.73</v>
      </c>
      <c r="M287" s="2">
        <v>15.06</v>
      </c>
      <c r="N287" s="3" t="s">
        <v>36</v>
      </c>
      <c r="O287" s="2">
        <v>1.96</v>
      </c>
    </row>
    <row r="288" spans="1:15" x14ac:dyDescent="0.25">
      <c r="A288" s="47">
        <v>44117</v>
      </c>
      <c r="B288" s="2">
        <v>1</v>
      </c>
      <c r="C288" s="2">
        <v>776.17</v>
      </c>
      <c r="D288" s="2">
        <v>925.03</v>
      </c>
      <c r="E288" s="2">
        <v>762.47</v>
      </c>
      <c r="F288" s="2">
        <v>0.99</v>
      </c>
      <c r="G288" s="2">
        <v>13.66</v>
      </c>
      <c r="H288" s="2">
        <v>25.5</v>
      </c>
      <c r="I288" s="53">
        <v>826.07</v>
      </c>
      <c r="J288" s="2">
        <v>902.6</v>
      </c>
      <c r="K288" s="2">
        <v>674.24</v>
      </c>
      <c r="L288" s="2">
        <v>0.76</v>
      </c>
      <c r="M288" s="2">
        <v>14.94</v>
      </c>
      <c r="N288" s="3" t="s">
        <v>36</v>
      </c>
      <c r="O288" s="2">
        <v>2.02</v>
      </c>
    </row>
    <row r="289" spans="1:15" x14ac:dyDescent="0.25">
      <c r="A289" s="47">
        <v>44118</v>
      </c>
      <c r="B289" s="2">
        <v>1</v>
      </c>
      <c r="C289" s="2">
        <v>776.02</v>
      </c>
      <c r="D289" s="2">
        <v>1040.79</v>
      </c>
      <c r="E289" s="2">
        <v>796.91</v>
      </c>
      <c r="F289" s="2">
        <v>0.97</v>
      </c>
      <c r="G289" s="2">
        <v>13.7</v>
      </c>
      <c r="H289" s="2">
        <v>28.64</v>
      </c>
      <c r="I289" s="2">
        <v>746.67</v>
      </c>
      <c r="J289" s="2">
        <v>1020.93</v>
      </c>
      <c r="K289" s="2">
        <v>664.25</v>
      </c>
      <c r="L289" s="2">
        <v>0.69</v>
      </c>
      <c r="M289" s="2">
        <v>15</v>
      </c>
      <c r="N289" s="3" t="s">
        <v>36</v>
      </c>
      <c r="O289" s="2">
        <v>2.0499999999999998</v>
      </c>
    </row>
    <row r="290" spans="1:15" x14ac:dyDescent="0.25">
      <c r="A290" s="47">
        <v>44119</v>
      </c>
      <c r="B290" s="2">
        <v>1</v>
      </c>
      <c r="C290" s="2">
        <v>777.44</v>
      </c>
      <c r="D290" s="2">
        <v>1101.95</v>
      </c>
      <c r="E290" s="2">
        <v>840.7</v>
      </c>
      <c r="F290" s="2">
        <v>0.99</v>
      </c>
      <c r="G290" s="2">
        <v>13.67</v>
      </c>
      <c r="H290" s="2">
        <v>30.79</v>
      </c>
      <c r="I290" s="2">
        <v>799.62</v>
      </c>
      <c r="J290" s="2">
        <v>1132.8499999999999</v>
      </c>
      <c r="K290" s="2">
        <v>664.23</v>
      </c>
      <c r="L290" s="2">
        <v>0.88</v>
      </c>
      <c r="M290" s="2">
        <v>15.03</v>
      </c>
      <c r="N290" s="3" t="s">
        <v>36</v>
      </c>
      <c r="O290" s="2">
        <v>2.0499999999999998</v>
      </c>
    </row>
    <row r="291" spans="1:15" x14ac:dyDescent="0.25">
      <c r="A291" s="47">
        <v>44120</v>
      </c>
      <c r="B291" s="2">
        <v>1</v>
      </c>
      <c r="C291" s="2">
        <v>773.61</v>
      </c>
      <c r="D291" s="2">
        <v>1075.67</v>
      </c>
      <c r="E291" s="2">
        <v>892.23</v>
      </c>
      <c r="F291" s="2">
        <v>1</v>
      </c>
      <c r="G291" s="2">
        <v>13.84</v>
      </c>
      <c r="H291" s="2">
        <v>29.42</v>
      </c>
      <c r="I291" s="2">
        <v>789.51</v>
      </c>
      <c r="J291" s="2">
        <v>1022.17</v>
      </c>
      <c r="K291" s="2">
        <v>706.24</v>
      </c>
      <c r="L291" s="2">
        <v>0.79</v>
      </c>
      <c r="M291" s="2">
        <v>14.91</v>
      </c>
      <c r="N291" s="3" t="s">
        <v>36</v>
      </c>
      <c r="O291" s="2">
        <v>1.71</v>
      </c>
    </row>
    <row r="292" spans="1:15" x14ac:dyDescent="0.25">
      <c r="A292" s="47">
        <v>44121</v>
      </c>
      <c r="B292" s="2">
        <v>1</v>
      </c>
      <c r="C292" s="2">
        <v>777.25</v>
      </c>
      <c r="D292" s="2">
        <v>1090.98</v>
      </c>
      <c r="E292" s="2">
        <v>897</v>
      </c>
      <c r="F292" s="2">
        <v>0.98</v>
      </c>
      <c r="G292" s="2">
        <v>13.98</v>
      </c>
      <c r="H292" s="2">
        <v>29.99</v>
      </c>
      <c r="I292" s="2">
        <v>758.78</v>
      </c>
      <c r="J292" s="2">
        <v>977.05</v>
      </c>
      <c r="K292" s="2">
        <v>708.9</v>
      </c>
      <c r="L292" s="2">
        <v>0.79</v>
      </c>
      <c r="M292" s="2">
        <v>14.81</v>
      </c>
      <c r="N292" s="3" t="s">
        <v>36</v>
      </c>
      <c r="O292" s="2">
        <v>1.81</v>
      </c>
    </row>
    <row r="293" spans="1:15" x14ac:dyDescent="0.25">
      <c r="A293" s="47">
        <v>44122</v>
      </c>
      <c r="B293" s="2">
        <v>1</v>
      </c>
      <c r="C293" s="53">
        <v>815.9</v>
      </c>
      <c r="D293" s="2">
        <v>1092.07</v>
      </c>
      <c r="E293" s="2">
        <v>866.63</v>
      </c>
      <c r="F293" s="2">
        <v>0.99</v>
      </c>
      <c r="G293" s="2">
        <v>13.81</v>
      </c>
      <c r="H293" s="2">
        <v>28.16</v>
      </c>
      <c r="I293" s="2">
        <v>696.24</v>
      </c>
      <c r="J293" s="2">
        <v>890.72</v>
      </c>
      <c r="K293" s="2">
        <v>662.33</v>
      </c>
      <c r="L293" s="2">
        <v>0.79</v>
      </c>
      <c r="M293" s="2">
        <v>14.53</v>
      </c>
      <c r="N293" s="3" t="s">
        <v>36</v>
      </c>
      <c r="O293" s="2">
        <v>2</v>
      </c>
    </row>
    <row r="294" spans="1:15" x14ac:dyDescent="0.25">
      <c r="A294" s="47">
        <v>44123</v>
      </c>
      <c r="B294" s="2">
        <v>1</v>
      </c>
      <c r="C294" s="2">
        <v>776.69</v>
      </c>
      <c r="D294" s="2">
        <v>1049.1099999999999</v>
      </c>
      <c r="E294" s="2">
        <v>770.7</v>
      </c>
      <c r="F294" s="2">
        <v>0.99</v>
      </c>
      <c r="G294" s="2">
        <v>13.9</v>
      </c>
      <c r="H294" s="2">
        <v>28.39</v>
      </c>
      <c r="I294" s="2">
        <v>763.39</v>
      </c>
      <c r="J294" s="2">
        <v>872.19</v>
      </c>
      <c r="K294" s="2">
        <v>630.37</v>
      </c>
      <c r="L294" s="2">
        <v>0.78</v>
      </c>
      <c r="M294" s="2">
        <v>14.84</v>
      </c>
      <c r="N294" s="3" t="s">
        <v>36</v>
      </c>
      <c r="O294" s="2">
        <v>1.24</v>
      </c>
    </row>
    <row r="295" spans="1:15" x14ac:dyDescent="0.25">
      <c r="A295" s="47">
        <v>44124</v>
      </c>
      <c r="B295" s="2">
        <v>1</v>
      </c>
      <c r="C295" s="2">
        <v>767.5</v>
      </c>
      <c r="D295" s="2">
        <v>965.25</v>
      </c>
      <c r="E295" s="2">
        <v>704.73</v>
      </c>
      <c r="F295" s="2">
        <v>1</v>
      </c>
      <c r="G295" s="2">
        <v>13.89</v>
      </c>
      <c r="H295" s="2">
        <v>31.34</v>
      </c>
      <c r="I295" s="2">
        <v>748.89</v>
      </c>
      <c r="J295" s="2">
        <v>995.79</v>
      </c>
      <c r="K295" s="2">
        <v>619.55999999999995</v>
      </c>
      <c r="L295" s="2">
        <v>0.76</v>
      </c>
      <c r="M295" s="2">
        <v>14.79</v>
      </c>
      <c r="N295" s="3" t="s">
        <v>36</v>
      </c>
      <c r="O295" s="2">
        <v>1.89</v>
      </c>
    </row>
    <row r="296" spans="1:15" x14ac:dyDescent="0.25">
      <c r="A296" s="47">
        <v>44125</v>
      </c>
      <c r="B296" s="2">
        <v>1</v>
      </c>
      <c r="C296" s="2">
        <v>774.39</v>
      </c>
      <c r="D296" s="2">
        <v>934.23</v>
      </c>
      <c r="E296" s="2">
        <v>693.4</v>
      </c>
      <c r="F296" s="2">
        <v>1.01</v>
      </c>
      <c r="G296" s="2">
        <v>13.61</v>
      </c>
      <c r="H296" s="2">
        <v>31.43</v>
      </c>
      <c r="I296" s="2">
        <v>693.59</v>
      </c>
      <c r="J296" s="2">
        <v>879.8</v>
      </c>
      <c r="K296" s="2">
        <v>574.07000000000005</v>
      </c>
      <c r="L296" s="2">
        <v>0.76</v>
      </c>
      <c r="M296" s="2">
        <v>14.43</v>
      </c>
      <c r="N296" s="3" t="s">
        <v>36</v>
      </c>
      <c r="O296" s="2">
        <v>1.86</v>
      </c>
    </row>
    <row r="297" spans="1:15" x14ac:dyDescent="0.25">
      <c r="A297" s="47">
        <v>44126</v>
      </c>
      <c r="B297" s="2">
        <v>1</v>
      </c>
      <c r="C297" s="2">
        <v>777.95</v>
      </c>
      <c r="D297" s="2">
        <v>938.55</v>
      </c>
      <c r="E297" s="2">
        <v>629.96</v>
      </c>
      <c r="F297" s="2">
        <v>1</v>
      </c>
      <c r="G297" s="2">
        <v>14.03</v>
      </c>
      <c r="H297" s="2">
        <v>29.83</v>
      </c>
      <c r="I297" s="2">
        <v>665.53</v>
      </c>
      <c r="J297" s="2">
        <v>779.52</v>
      </c>
      <c r="K297" s="2">
        <v>511.24</v>
      </c>
      <c r="L297" s="2">
        <v>0.85</v>
      </c>
      <c r="M297" s="2">
        <v>14.57</v>
      </c>
      <c r="N297" s="3" t="s">
        <v>36</v>
      </c>
      <c r="O297" s="2">
        <v>1.44</v>
      </c>
    </row>
    <row r="298" spans="1:15" x14ac:dyDescent="0.25">
      <c r="A298" s="47">
        <v>44127</v>
      </c>
      <c r="B298" s="2">
        <v>1</v>
      </c>
      <c r="C298" s="2">
        <v>777.51</v>
      </c>
      <c r="D298" s="2">
        <v>876.77</v>
      </c>
      <c r="E298" s="2">
        <v>551.65</v>
      </c>
      <c r="F298" s="2">
        <v>1.04</v>
      </c>
      <c r="G298" s="2">
        <v>13.87</v>
      </c>
      <c r="H298" s="2">
        <v>26.9</v>
      </c>
      <c r="I298" s="2">
        <v>710.66</v>
      </c>
      <c r="J298" s="2">
        <v>648.65</v>
      </c>
      <c r="K298" s="2">
        <v>422.18</v>
      </c>
      <c r="L298" s="2">
        <v>0.73</v>
      </c>
      <c r="M298" s="2">
        <v>14.58</v>
      </c>
      <c r="N298" s="3" t="s">
        <v>36</v>
      </c>
      <c r="O298" s="2">
        <v>1.99</v>
      </c>
    </row>
    <row r="299" spans="1:15" x14ac:dyDescent="0.25">
      <c r="A299" s="47">
        <v>44128</v>
      </c>
      <c r="B299" s="2">
        <v>1</v>
      </c>
      <c r="C299" s="2">
        <v>776.41</v>
      </c>
      <c r="D299" s="2">
        <v>744.87</v>
      </c>
      <c r="E299" s="2">
        <v>572.11</v>
      </c>
      <c r="F299" s="2">
        <v>1.07</v>
      </c>
      <c r="G299" s="2">
        <v>14.06</v>
      </c>
      <c r="H299" s="2">
        <v>32.53</v>
      </c>
      <c r="I299" s="2">
        <v>767</v>
      </c>
      <c r="J299" s="2">
        <v>718.48</v>
      </c>
      <c r="K299" s="2">
        <v>416.64</v>
      </c>
      <c r="L299" s="2">
        <v>0.88</v>
      </c>
      <c r="M299" s="2">
        <v>14.71</v>
      </c>
      <c r="N299" s="3" t="s">
        <v>36</v>
      </c>
      <c r="O299" s="2">
        <v>2</v>
      </c>
    </row>
    <row r="300" spans="1:15" x14ac:dyDescent="0.25">
      <c r="A300" s="47">
        <v>44129</v>
      </c>
      <c r="B300" s="2">
        <v>1</v>
      </c>
      <c r="C300" s="2">
        <v>777.42</v>
      </c>
      <c r="D300" s="2">
        <v>858.02</v>
      </c>
      <c r="E300" s="2">
        <v>628.07000000000005</v>
      </c>
      <c r="F300" s="2">
        <v>1.04</v>
      </c>
      <c r="G300" s="2">
        <v>13.94</v>
      </c>
      <c r="H300" s="2">
        <v>28.99</v>
      </c>
      <c r="I300" s="2">
        <v>769.16</v>
      </c>
      <c r="J300" s="2">
        <v>838.71</v>
      </c>
      <c r="K300" s="2">
        <v>450.45</v>
      </c>
      <c r="L300" s="2">
        <v>0.8</v>
      </c>
      <c r="M300" s="2">
        <v>14.58</v>
      </c>
      <c r="N300" s="3" t="s">
        <v>36</v>
      </c>
      <c r="O300" s="2">
        <v>1.51</v>
      </c>
    </row>
    <row r="301" spans="1:15" x14ac:dyDescent="0.25">
      <c r="A301" s="47">
        <v>44130</v>
      </c>
      <c r="B301" s="2">
        <v>1</v>
      </c>
      <c r="C301" s="53">
        <v>825.98</v>
      </c>
      <c r="D301" s="2">
        <v>871.95</v>
      </c>
      <c r="E301" s="2">
        <v>658.16</v>
      </c>
      <c r="F301" s="2">
        <v>0.98</v>
      </c>
      <c r="G301" s="2">
        <v>13.78</v>
      </c>
      <c r="H301" s="2">
        <v>33.090000000000003</v>
      </c>
      <c r="I301" s="2">
        <v>761.09</v>
      </c>
      <c r="J301" s="2">
        <v>911.68</v>
      </c>
      <c r="K301" s="2">
        <v>528.15</v>
      </c>
      <c r="L301" s="2">
        <v>0.88</v>
      </c>
      <c r="M301" s="2">
        <v>14.7</v>
      </c>
      <c r="N301" s="3" t="s">
        <v>36</v>
      </c>
      <c r="O301" s="2">
        <v>10.02</v>
      </c>
    </row>
    <row r="302" spans="1:15" x14ac:dyDescent="0.25">
      <c r="A302" s="47">
        <v>44131</v>
      </c>
      <c r="B302" s="2">
        <v>1</v>
      </c>
      <c r="C302" s="53">
        <v>863.88</v>
      </c>
      <c r="D302" s="2">
        <v>878.77</v>
      </c>
      <c r="E302" s="2">
        <v>640.39</v>
      </c>
      <c r="F302" s="2">
        <v>1.03</v>
      </c>
      <c r="G302" s="2">
        <v>13.72</v>
      </c>
      <c r="H302" s="2">
        <v>35.479999999999997</v>
      </c>
      <c r="I302" s="2">
        <v>718.44</v>
      </c>
      <c r="J302" s="2">
        <v>961.52</v>
      </c>
      <c r="K302" s="2">
        <v>548.9</v>
      </c>
      <c r="L302" s="2">
        <v>0.86</v>
      </c>
      <c r="M302" s="2">
        <v>14.61</v>
      </c>
      <c r="N302" s="3" t="s">
        <v>36</v>
      </c>
      <c r="O302" s="2">
        <v>2.0299999999999998</v>
      </c>
    </row>
    <row r="303" spans="1:15" x14ac:dyDescent="0.25">
      <c r="A303" s="47">
        <v>44132</v>
      </c>
      <c r="B303" s="2">
        <v>1</v>
      </c>
      <c r="C303" s="2">
        <v>773.33</v>
      </c>
      <c r="D303" s="2">
        <v>864.93</v>
      </c>
      <c r="E303" s="2">
        <v>654.33000000000004</v>
      </c>
      <c r="F303" s="2">
        <v>0.94</v>
      </c>
      <c r="G303" s="2">
        <v>14.15</v>
      </c>
      <c r="H303" s="2">
        <v>35.4</v>
      </c>
      <c r="I303" s="2">
        <v>741.53</v>
      </c>
      <c r="J303" s="2">
        <v>940.13</v>
      </c>
      <c r="K303" s="2">
        <v>582.89</v>
      </c>
      <c r="L303" s="2">
        <v>0.81</v>
      </c>
      <c r="M303" s="2">
        <v>14.82</v>
      </c>
      <c r="N303" s="3" t="s">
        <v>36</v>
      </c>
      <c r="O303" s="2">
        <v>2.0499999999999998</v>
      </c>
    </row>
    <row r="304" spans="1:15" x14ac:dyDescent="0.25">
      <c r="A304" s="47">
        <v>44133</v>
      </c>
      <c r="B304" s="2">
        <v>1</v>
      </c>
      <c r="C304" s="2">
        <v>777.44</v>
      </c>
      <c r="D304" s="2">
        <v>879.58</v>
      </c>
      <c r="E304" s="2">
        <v>628.32000000000005</v>
      </c>
      <c r="F304" s="2">
        <v>0.91</v>
      </c>
      <c r="G304" s="2">
        <v>14.05</v>
      </c>
      <c r="H304" s="2">
        <v>34.15</v>
      </c>
      <c r="I304" s="2">
        <v>756</v>
      </c>
      <c r="J304" s="2">
        <v>878.45</v>
      </c>
      <c r="K304" s="2">
        <v>552.46</v>
      </c>
      <c r="L304" s="2">
        <v>0.77</v>
      </c>
      <c r="M304" s="2">
        <v>14.87</v>
      </c>
      <c r="N304" s="3" t="s">
        <v>36</v>
      </c>
      <c r="O304" s="2">
        <v>1.78</v>
      </c>
    </row>
    <row r="305" spans="1:15" x14ac:dyDescent="0.25">
      <c r="A305" s="47">
        <v>44134</v>
      </c>
      <c r="B305" s="2">
        <v>1</v>
      </c>
      <c r="C305" s="2">
        <v>776.35</v>
      </c>
      <c r="D305" s="2">
        <v>870.39</v>
      </c>
      <c r="E305" s="2">
        <v>637.34</v>
      </c>
      <c r="F305" s="2">
        <v>0.89</v>
      </c>
      <c r="G305" s="2">
        <v>14.01</v>
      </c>
      <c r="H305" s="2">
        <v>39.21</v>
      </c>
      <c r="I305" s="2">
        <v>753.96</v>
      </c>
      <c r="J305" s="2">
        <v>911.95</v>
      </c>
      <c r="K305" s="2">
        <v>593.80999999999995</v>
      </c>
      <c r="L305" s="2">
        <v>0.83</v>
      </c>
      <c r="M305" s="2">
        <v>14.97</v>
      </c>
      <c r="N305" s="3" t="s">
        <v>36</v>
      </c>
      <c r="O305" s="2">
        <v>1.97</v>
      </c>
    </row>
    <row r="306" spans="1:15" x14ac:dyDescent="0.25">
      <c r="A306" s="47">
        <v>44135</v>
      </c>
      <c r="B306" s="2">
        <v>1</v>
      </c>
      <c r="C306" s="2">
        <v>775.83</v>
      </c>
      <c r="D306" s="2">
        <v>953.94</v>
      </c>
      <c r="E306" s="2">
        <v>699.36</v>
      </c>
      <c r="F306" s="2">
        <v>1</v>
      </c>
      <c r="G306" s="2">
        <v>14.2</v>
      </c>
      <c r="H306" s="2">
        <v>41.44</v>
      </c>
      <c r="I306" s="2">
        <v>766.68</v>
      </c>
      <c r="J306" s="2">
        <v>990.55</v>
      </c>
      <c r="K306" s="2">
        <v>586.46</v>
      </c>
      <c r="L306" s="2">
        <v>0.82</v>
      </c>
      <c r="M306" s="2">
        <v>14.77</v>
      </c>
      <c r="N306" s="3" t="s">
        <v>36</v>
      </c>
      <c r="O306" s="2">
        <v>1.97</v>
      </c>
    </row>
    <row r="307" spans="1:15" x14ac:dyDescent="0.25">
      <c r="A307" s="47">
        <v>44136</v>
      </c>
      <c r="B307" s="2">
        <v>1</v>
      </c>
      <c r="C307" s="2">
        <v>778.79</v>
      </c>
      <c r="D307" s="2">
        <v>994.8</v>
      </c>
      <c r="E307" s="2">
        <v>709.29</v>
      </c>
      <c r="F307" s="2">
        <v>1.07</v>
      </c>
      <c r="G307" s="2">
        <v>14.14</v>
      </c>
      <c r="H307" s="2">
        <v>41.88</v>
      </c>
      <c r="I307" s="53">
        <v>806.22</v>
      </c>
      <c r="J307" s="2">
        <v>970.01</v>
      </c>
      <c r="K307" s="2">
        <v>572.6</v>
      </c>
      <c r="L307" s="2">
        <v>0.86</v>
      </c>
      <c r="M307" s="2">
        <v>14.71</v>
      </c>
      <c r="N307" s="3" t="s">
        <v>36</v>
      </c>
      <c r="O307" s="2">
        <v>1.59</v>
      </c>
    </row>
    <row r="308" spans="1:15" x14ac:dyDescent="0.25">
      <c r="A308" s="47">
        <v>44137</v>
      </c>
      <c r="B308" s="2">
        <v>1</v>
      </c>
      <c r="C308" s="2">
        <v>790.48</v>
      </c>
      <c r="D308" s="2">
        <v>1043.79</v>
      </c>
      <c r="E308" s="2">
        <v>653.47</v>
      </c>
      <c r="F308" s="2">
        <v>1</v>
      </c>
      <c r="G308" s="2">
        <v>14.6</v>
      </c>
      <c r="H308" s="2">
        <v>47.66</v>
      </c>
      <c r="I308" s="53">
        <v>858.13</v>
      </c>
      <c r="J308" s="2">
        <v>964.04</v>
      </c>
      <c r="K308" s="2">
        <v>570.39</v>
      </c>
      <c r="L308" s="2">
        <v>0.99</v>
      </c>
      <c r="M308" s="2">
        <v>14.99</v>
      </c>
      <c r="N308" s="3" t="s">
        <v>36</v>
      </c>
      <c r="O308" s="2">
        <v>2.02</v>
      </c>
    </row>
    <row r="309" spans="1:15" x14ac:dyDescent="0.25">
      <c r="A309" s="47">
        <v>44138</v>
      </c>
      <c r="B309" s="2">
        <v>1</v>
      </c>
      <c r="C309" s="53">
        <v>815.45</v>
      </c>
      <c r="D309" s="2">
        <v>1083.3699999999999</v>
      </c>
      <c r="E309" s="2">
        <v>676.35</v>
      </c>
      <c r="F309" s="2">
        <v>1.2</v>
      </c>
      <c r="G309" s="2">
        <v>14.64</v>
      </c>
      <c r="H309" s="2">
        <v>45.22</v>
      </c>
      <c r="I309" s="53">
        <v>933.98</v>
      </c>
      <c r="J309" s="2">
        <v>975.56</v>
      </c>
      <c r="K309" s="2">
        <v>539.27</v>
      </c>
      <c r="L309" s="2">
        <v>0.84</v>
      </c>
      <c r="M309" s="2">
        <v>14.78</v>
      </c>
      <c r="N309" s="3" t="s">
        <v>36</v>
      </c>
      <c r="O309" s="2">
        <v>1.79</v>
      </c>
    </row>
    <row r="310" spans="1:15" x14ac:dyDescent="0.25">
      <c r="A310" s="47">
        <v>44139</v>
      </c>
      <c r="B310" s="2">
        <v>0.88</v>
      </c>
      <c r="C310" s="2">
        <v>774.43</v>
      </c>
      <c r="D310" s="2">
        <v>1101.47</v>
      </c>
      <c r="E310" s="2">
        <v>726.66</v>
      </c>
      <c r="F310" s="2">
        <v>0.95</v>
      </c>
      <c r="G310" s="2">
        <v>14.09</v>
      </c>
      <c r="H310" s="53">
        <v>51.14</v>
      </c>
      <c r="I310" s="53">
        <v>925.81</v>
      </c>
      <c r="J310" s="2">
        <v>1179.96</v>
      </c>
      <c r="K310" s="2">
        <v>529.36</v>
      </c>
      <c r="L310" s="2">
        <v>1.27</v>
      </c>
      <c r="M310" s="2">
        <v>14.94</v>
      </c>
      <c r="N310" s="3" t="s">
        <v>36</v>
      </c>
      <c r="O310" s="2">
        <v>2.0299999999999998</v>
      </c>
    </row>
    <row r="311" spans="1:15" x14ac:dyDescent="0.25">
      <c r="A311" s="47">
        <v>44140</v>
      </c>
      <c r="B311" s="3" t="s">
        <v>36</v>
      </c>
      <c r="C311" s="3" t="s">
        <v>36</v>
      </c>
      <c r="D311" s="3" t="s">
        <v>36</v>
      </c>
      <c r="E311" s="3" t="s">
        <v>36</v>
      </c>
      <c r="F311" s="3" t="s">
        <v>36</v>
      </c>
      <c r="G311" s="3" t="s">
        <v>36</v>
      </c>
      <c r="H311" s="3" t="s">
        <v>36</v>
      </c>
      <c r="I311" s="3" t="s">
        <v>36</v>
      </c>
      <c r="J311" s="3" t="s">
        <v>36</v>
      </c>
      <c r="K311" s="3" t="s">
        <v>36</v>
      </c>
      <c r="L311" s="3" t="s">
        <v>36</v>
      </c>
      <c r="M311" s="3" t="s">
        <v>36</v>
      </c>
      <c r="N311" s="3" t="s">
        <v>36</v>
      </c>
      <c r="O311" s="2">
        <v>2.04</v>
      </c>
    </row>
    <row r="312" spans="1:15" x14ac:dyDescent="0.25">
      <c r="A312" s="47">
        <v>44141</v>
      </c>
      <c r="B312" s="3" t="s">
        <v>36</v>
      </c>
      <c r="C312" s="3" t="s">
        <v>36</v>
      </c>
      <c r="D312" s="3" t="s">
        <v>36</v>
      </c>
      <c r="E312" s="3" t="s">
        <v>36</v>
      </c>
      <c r="F312" s="3" t="s">
        <v>36</v>
      </c>
      <c r="G312" s="3" t="s">
        <v>36</v>
      </c>
      <c r="H312" s="3" t="s">
        <v>36</v>
      </c>
      <c r="I312" s="3" t="s">
        <v>36</v>
      </c>
      <c r="J312" s="3" t="s">
        <v>36</v>
      </c>
      <c r="K312" s="3" t="s">
        <v>36</v>
      </c>
      <c r="L312" s="3" t="s">
        <v>36</v>
      </c>
      <c r="M312" s="3" t="s">
        <v>36</v>
      </c>
      <c r="N312" s="3" t="s">
        <v>36</v>
      </c>
      <c r="O312" s="2">
        <v>2.04</v>
      </c>
    </row>
    <row r="313" spans="1:15" x14ac:dyDescent="0.25">
      <c r="A313" s="47">
        <v>44142</v>
      </c>
      <c r="B313" s="3" t="s">
        <v>36</v>
      </c>
      <c r="C313" s="3" t="s">
        <v>36</v>
      </c>
      <c r="D313" s="3" t="s">
        <v>36</v>
      </c>
      <c r="E313" s="3" t="s">
        <v>36</v>
      </c>
      <c r="F313" s="3" t="s">
        <v>36</v>
      </c>
      <c r="G313" s="3" t="s">
        <v>36</v>
      </c>
      <c r="H313" s="3" t="s">
        <v>36</v>
      </c>
      <c r="I313" s="3" t="s">
        <v>36</v>
      </c>
      <c r="J313" s="3" t="s">
        <v>36</v>
      </c>
      <c r="K313" s="3" t="s">
        <v>36</v>
      </c>
      <c r="L313" s="3" t="s">
        <v>36</v>
      </c>
      <c r="M313" s="3" t="s">
        <v>36</v>
      </c>
      <c r="N313" s="3" t="s">
        <v>36</v>
      </c>
      <c r="O313" s="2">
        <v>1.77</v>
      </c>
    </row>
    <row r="314" spans="1:15" x14ac:dyDescent="0.25">
      <c r="A314" s="47">
        <v>44143</v>
      </c>
      <c r="B314" s="3" t="s">
        <v>36</v>
      </c>
      <c r="C314" s="3" t="s">
        <v>36</v>
      </c>
      <c r="D314" s="3" t="s">
        <v>36</v>
      </c>
      <c r="E314" s="3" t="s">
        <v>36</v>
      </c>
      <c r="F314" s="3" t="s">
        <v>36</v>
      </c>
      <c r="G314" s="3" t="s">
        <v>36</v>
      </c>
      <c r="H314" s="3" t="s">
        <v>36</v>
      </c>
      <c r="I314" s="3" t="s">
        <v>36</v>
      </c>
      <c r="J314" s="3" t="s">
        <v>36</v>
      </c>
      <c r="K314" s="3" t="s">
        <v>36</v>
      </c>
      <c r="L314" s="3" t="s">
        <v>36</v>
      </c>
      <c r="M314" s="3" t="s">
        <v>36</v>
      </c>
      <c r="N314" s="3" t="s">
        <v>36</v>
      </c>
      <c r="O314" s="2">
        <v>1.75</v>
      </c>
    </row>
    <row r="315" spans="1:15" x14ac:dyDescent="0.25">
      <c r="A315" s="47">
        <v>44144</v>
      </c>
      <c r="B315" s="3" t="s">
        <v>36</v>
      </c>
      <c r="C315" s="3" t="s">
        <v>36</v>
      </c>
      <c r="D315" s="3" t="s">
        <v>36</v>
      </c>
      <c r="E315" s="3" t="s">
        <v>36</v>
      </c>
      <c r="F315" s="3" t="s">
        <v>36</v>
      </c>
      <c r="G315" s="3" t="s">
        <v>36</v>
      </c>
      <c r="H315" s="3" t="s">
        <v>36</v>
      </c>
      <c r="I315" s="3" t="s">
        <v>36</v>
      </c>
      <c r="J315" s="3" t="s">
        <v>36</v>
      </c>
      <c r="K315" s="3" t="s">
        <v>36</v>
      </c>
      <c r="L315" s="3" t="s">
        <v>36</v>
      </c>
      <c r="M315" s="3" t="s">
        <v>36</v>
      </c>
      <c r="N315" s="3" t="s">
        <v>36</v>
      </c>
      <c r="O315" s="2">
        <v>1.47</v>
      </c>
    </row>
    <row r="316" spans="1:15" x14ac:dyDescent="0.25">
      <c r="A316" s="47">
        <v>44145</v>
      </c>
      <c r="B316" s="3" t="s">
        <v>36</v>
      </c>
      <c r="C316" s="3" t="s">
        <v>36</v>
      </c>
      <c r="D316" s="3" t="s">
        <v>36</v>
      </c>
      <c r="E316" s="3" t="s">
        <v>36</v>
      </c>
      <c r="F316" s="3" t="s">
        <v>36</v>
      </c>
      <c r="G316" s="3" t="s">
        <v>36</v>
      </c>
      <c r="H316" s="3" t="s">
        <v>36</v>
      </c>
      <c r="I316" s="3" t="s">
        <v>36</v>
      </c>
      <c r="J316" s="3" t="s">
        <v>36</v>
      </c>
      <c r="K316" s="3" t="s">
        <v>36</v>
      </c>
      <c r="L316" s="3" t="s">
        <v>36</v>
      </c>
      <c r="M316" s="3" t="s">
        <v>36</v>
      </c>
      <c r="N316" s="3" t="s">
        <v>36</v>
      </c>
      <c r="O316" s="2">
        <v>1.79</v>
      </c>
    </row>
    <row r="317" spans="1:15" x14ac:dyDescent="0.25">
      <c r="A317" s="47">
        <v>44146</v>
      </c>
      <c r="B317" s="2">
        <v>1.01</v>
      </c>
      <c r="C317" s="53">
        <v>910.35</v>
      </c>
      <c r="D317" s="2">
        <v>857.3</v>
      </c>
      <c r="E317" s="2">
        <v>723.43</v>
      </c>
      <c r="F317" s="2">
        <v>0.89</v>
      </c>
      <c r="G317" s="2">
        <v>15</v>
      </c>
      <c r="H317" s="3" t="s">
        <v>36</v>
      </c>
      <c r="I317" s="3" t="s">
        <v>36</v>
      </c>
      <c r="J317" s="3" t="s">
        <v>36</v>
      </c>
      <c r="K317" s="3" t="s">
        <v>36</v>
      </c>
      <c r="L317" s="3" t="s">
        <v>36</v>
      </c>
      <c r="M317" s="3" t="s">
        <v>36</v>
      </c>
      <c r="N317" s="3" t="s">
        <v>36</v>
      </c>
      <c r="O317" s="2">
        <v>2</v>
      </c>
    </row>
    <row r="318" spans="1:15" x14ac:dyDescent="0.25">
      <c r="A318" s="47">
        <v>44147</v>
      </c>
      <c r="B318" s="2">
        <v>0.9</v>
      </c>
      <c r="C318" s="53">
        <v>821.3</v>
      </c>
      <c r="D318" s="2">
        <v>974.96</v>
      </c>
      <c r="E318" s="2">
        <v>682.82</v>
      </c>
      <c r="F318" s="2">
        <v>1.03</v>
      </c>
      <c r="G318" s="2">
        <v>14.7</v>
      </c>
      <c r="H318" s="3" t="s">
        <v>36</v>
      </c>
      <c r="I318" s="3" t="s">
        <v>36</v>
      </c>
      <c r="J318" s="3" t="s">
        <v>36</v>
      </c>
      <c r="K318" s="3" t="s">
        <v>36</v>
      </c>
      <c r="L318" s="3" t="s">
        <v>36</v>
      </c>
      <c r="M318" s="3" t="s">
        <v>36</v>
      </c>
      <c r="N318" s="3" t="s">
        <v>36</v>
      </c>
      <c r="O318" s="2">
        <v>1.97</v>
      </c>
    </row>
    <row r="319" spans="1:15" x14ac:dyDescent="0.25">
      <c r="A319" s="47">
        <v>44148</v>
      </c>
      <c r="B319" s="2">
        <v>1.32</v>
      </c>
      <c r="C319" s="2">
        <v>663.61</v>
      </c>
      <c r="D319" s="2">
        <v>976.05</v>
      </c>
      <c r="E319" s="2">
        <v>641.58000000000004</v>
      </c>
      <c r="F319" s="2">
        <v>0.52</v>
      </c>
      <c r="G319" s="2">
        <v>13.88</v>
      </c>
      <c r="H319" s="3" t="s">
        <v>36</v>
      </c>
      <c r="I319" s="3" t="s">
        <v>36</v>
      </c>
      <c r="J319" s="3" t="s">
        <v>36</v>
      </c>
      <c r="K319" s="3" t="s">
        <v>36</v>
      </c>
      <c r="L319" s="3" t="s">
        <v>36</v>
      </c>
      <c r="M319" s="3" t="s">
        <v>36</v>
      </c>
      <c r="N319" s="3" t="s">
        <v>36</v>
      </c>
      <c r="O319" s="2">
        <v>2.0499999999999998</v>
      </c>
    </row>
    <row r="320" spans="1:15" x14ac:dyDescent="0.25">
      <c r="A320" s="47">
        <v>44149</v>
      </c>
      <c r="B320" s="2">
        <v>0.82</v>
      </c>
      <c r="C320" s="2">
        <v>731.5</v>
      </c>
      <c r="D320" s="2">
        <v>974.1</v>
      </c>
      <c r="E320" s="2">
        <v>646.44000000000005</v>
      </c>
      <c r="F320" s="2">
        <v>0.7</v>
      </c>
      <c r="G320" s="2">
        <v>14.02</v>
      </c>
      <c r="H320" s="3" t="s">
        <v>36</v>
      </c>
      <c r="I320" s="3" t="s">
        <v>36</v>
      </c>
      <c r="J320" s="3" t="s">
        <v>36</v>
      </c>
      <c r="K320" s="3" t="s">
        <v>36</v>
      </c>
      <c r="L320" s="3" t="s">
        <v>36</v>
      </c>
      <c r="M320" s="3" t="s">
        <v>36</v>
      </c>
      <c r="N320" s="3" t="s">
        <v>36</v>
      </c>
      <c r="O320" s="2">
        <v>2.0499999999999998</v>
      </c>
    </row>
    <row r="321" spans="1:15" x14ac:dyDescent="0.25">
      <c r="A321" s="47">
        <v>44150</v>
      </c>
      <c r="B321" s="2">
        <v>0.68</v>
      </c>
      <c r="C321" s="2">
        <v>742.61</v>
      </c>
      <c r="D321" s="2">
        <v>946.98</v>
      </c>
      <c r="E321" s="2">
        <v>635.91</v>
      </c>
      <c r="F321" s="2">
        <v>0.49</v>
      </c>
      <c r="G321" s="2">
        <v>14</v>
      </c>
      <c r="H321" s="3" t="s">
        <v>36</v>
      </c>
      <c r="I321" s="3" t="s">
        <v>36</v>
      </c>
      <c r="J321" s="3" t="s">
        <v>36</v>
      </c>
      <c r="K321" s="3" t="s">
        <v>36</v>
      </c>
      <c r="L321" s="3" t="s">
        <v>36</v>
      </c>
      <c r="M321" s="3" t="s">
        <v>36</v>
      </c>
      <c r="N321" s="3" t="s">
        <v>36</v>
      </c>
      <c r="O321" s="2">
        <v>2.0499999999999998</v>
      </c>
    </row>
    <row r="322" spans="1:15" x14ac:dyDescent="0.25">
      <c r="A322" s="47">
        <v>44151</v>
      </c>
      <c r="B322" s="2">
        <v>0.82</v>
      </c>
      <c r="C322" s="2">
        <v>784.26</v>
      </c>
      <c r="D322" s="2">
        <v>950.6</v>
      </c>
      <c r="E322" s="2">
        <v>649.61</v>
      </c>
      <c r="F322" s="2">
        <v>0.52</v>
      </c>
      <c r="G322" s="2">
        <v>13.93</v>
      </c>
      <c r="H322" s="3" t="s">
        <v>36</v>
      </c>
      <c r="I322" s="3" t="s">
        <v>36</v>
      </c>
      <c r="J322" s="3" t="s">
        <v>36</v>
      </c>
      <c r="K322" s="3" t="s">
        <v>36</v>
      </c>
      <c r="L322" s="3" t="s">
        <v>36</v>
      </c>
      <c r="M322" s="3" t="s">
        <v>36</v>
      </c>
      <c r="N322" s="3" t="s">
        <v>36</v>
      </c>
      <c r="O322" s="2">
        <v>2.04</v>
      </c>
    </row>
    <row r="323" spans="1:15" x14ac:dyDescent="0.25">
      <c r="A323" s="47">
        <v>44152</v>
      </c>
      <c r="B323" s="2">
        <v>0.95</v>
      </c>
      <c r="C323" s="2">
        <v>759.89</v>
      </c>
      <c r="D323" s="2">
        <v>965.11</v>
      </c>
      <c r="E323" s="2">
        <v>633.72</v>
      </c>
      <c r="F323" s="2">
        <v>0.89</v>
      </c>
      <c r="G323" s="2">
        <v>14.12</v>
      </c>
      <c r="H323" s="3" t="s">
        <v>36</v>
      </c>
      <c r="I323" s="3" t="s">
        <v>36</v>
      </c>
      <c r="J323" s="3" t="s">
        <v>36</v>
      </c>
      <c r="K323" s="3" t="s">
        <v>36</v>
      </c>
      <c r="L323" s="3" t="s">
        <v>36</v>
      </c>
      <c r="M323" s="3" t="s">
        <v>36</v>
      </c>
      <c r="N323" s="3" t="s">
        <v>36</v>
      </c>
      <c r="O323" s="2">
        <v>1.1100000000000001</v>
      </c>
    </row>
    <row r="324" spans="1:15" x14ac:dyDescent="0.25">
      <c r="A324" s="47">
        <v>44153</v>
      </c>
      <c r="B324" s="2">
        <v>0.93</v>
      </c>
      <c r="C324" s="2">
        <v>776.21</v>
      </c>
      <c r="D324" s="2">
        <v>992.19</v>
      </c>
      <c r="E324" s="2">
        <v>631.23</v>
      </c>
      <c r="F324" s="2">
        <v>0.84</v>
      </c>
      <c r="G324" s="2">
        <v>14</v>
      </c>
      <c r="H324" s="2">
        <v>21.93</v>
      </c>
      <c r="I324" s="2">
        <v>765.23</v>
      </c>
      <c r="J324" s="2">
        <v>1071.92</v>
      </c>
      <c r="K324" s="2">
        <v>495.21</v>
      </c>
      <c r="L324" s="2">
        <v>1.03</v>
      </c>
      <c r="M324" s="2">
        <v>15.31</v>
      </c>
      <c r="N324" s="3" t="s">
        <v>36</v>
      </c>
      <c r="O324" s="2">
        <v>0.4</v>
      </c>
    </row>
    <row r="325" spans="1:15" x14ac:dyDescent="0.25">
      <c r="A325" s="47">
        <v>44154</v>
      </c>
      <c r="B325" s="2">
        <v>0.95</v>
      </c>
      <c r="C325" s="2">
        <v>755.47</v>
      </c>
      <c r="D325" s="2">
        <v>997.96</v>
      </c>
      <c r="E325" s="2">
        <v>577.95000000000005</v>
      </c>
      <c r="F325" s="2">
        <v>0.89</v>
      </c>
      <c r="G325" s="2">
        <v>14.06</v>
      </c>
      <c r="H325" s="2">
        <v>27.32</v>
      </c>
      <c r="I325" s="2">
        <v>747.7</v>
      </c>
      <c r="J325" s="2">
        <v>877</v>
      </c>
      <c r="K325" s="2">
        <v>446.47</v>
      </c>
      <c r="L325" s="2">
        <v>0.76</v>
      </c>
      <c r="M325" s="2">
        <v>14.84</v>
      </c>
      <c r="N325" s="3" t="s">
        <v>36</v>
      </c>
      <c r="O325" s="2">
        <v>0.32</v>
      </c>
    </row>
    <row r="326" spans="1:15" x14ac:dyDescent="0.25">
      <c r="A326" s="47">
        <v>44155</v>
      </c>
      <c r="B326" s="2">
        <v>0.88</v>
      </c>
      <c r="C326" s="2">
        <v>750.99</v>
      </c>
      <c r="D326" s="2">
        <v>1046.08</v>
      </c>
      <c r="E326" s="2">
        <v>584.48</v>
      </c>
      <c r="F326" s="2">
        <v>0.88</v>
      </c>
      <c r="G326" s="2">
        <v>14.17</v>
      </c>
      <c r="H326" s="2">
        <v>30.02</v>
      </c>
      <c r="I326" s="2">
        <v>627.16999999999996</v>
      </c>
      <c r="J326" s="2">
        <v>1030.81</v>
      </c>
      <c r="K326" s="2">
        <v>434.66</v>
      </c>
      <c r="L326" s="2">
        <v>0.88</v>
      </c>
      <c r="M326" s="2">
        <v>14.86</v>
      </c>
      <c r="N326" s="3" t="s">
        <v>36</v>
      </c>
      <c r="O326" s="2">
        <v>11.05</v>
      </c>
    </row>
    <row r="327" spans="1:15" x14ac:dyDescent="0.25">
      <c r="A327" s="47">
        <v>44156</v>
      </c>
      <c r="B327" s="2">
        <v>0.74</v>
      </c>
      <c r="C327" s="2">
        <v>772.69</v>
      </c>
      <c r="D327" s="2">
        <v>1014.18</v>
      </c>
      <c r="E327" s="2">
        <v>549.94000000000005</v>
      </c>
      <c r="F327" s="2">
        <v>0.59</v>
      </c>
      <c r="G327" s="2">
        <v>14.09</v>
      </c>
      <c r="H327" s="2">
        <v>31.81</v>
      </c>
      <c r="I327" s="2">
        <v>611.27</v>
      </c>
      <c r="J327" s="2">
        <v>1036.82</v>
      </c>
      <c r="K327" s="2">
        <v>413.22</v>
      </c>
      <c r="L327" s="2">
        <v>0.88</v>
      </c>
      <c r="M327" s="2">
        <v>14.62</v>
      </c>
      <c r="N327" s="3" t="s">
        <v>36</v>
      </c>
      <c r="O327" s="2">
        <v>2.0099999999999998</v>
      </c>
    </row>
    <row r="328" spans="1:15" x14ac:dyDescent="0.25">
      <c r="A328" s="47">
        <v>44157</v>
      </c>
      <c r="B328" s="2">
        <v>0.36</v>
      </c>
      <c r="C328" s="2">
        <v>751.14</v>
      </c>
      <c r="D328" s="2">
        <v>961.42</v>
      </c>
      <c r="E328" s="2">
        <v>475.74</v>
      </c>
      <c r="F328" s="2">
        <v>0.77</v>
      </c>
      <c r="G328" s="2">
        <v>14.27</v>
      </c>
      <c r="H328" s="2">
        <v>30.17</v>
      </c>
      <c r="I328" s="2">
        <v>738.08</v>
      </c>
      <c r="J328" s="2">
        <v>962.02</v>
      </c>
      <c r="K328" s="2">
        <v>348.69</v>
      </c>
      <c r="L328" s="2">
        <v>0.83</v>
      </c>
      <c r="M328" s="2">
        <v>15</v>
      </c>
      <c r="N328" s="3" t="s">
        <v>36</v>
      </c>
      <c r="O328" s="2">
        <v>1.99</v>
      </c>
    </row>
    <row r="329" spans="1:15" x14ac:dyDescent="0.25">
      <c r="A329" s="47">
        <v>44158</v>
      </c>
      <c r="B329" s="2">
        <v>0.55000000000000004</v>
      </c>
      <c r="C329" s="2">
        <v>753.72</v>
      </c>
      <c r="D329" s="2">
        <v>1033.5899999999999</v>
      </c>
      <c r="E329" s="2">
        <v>463.99</v>
      </c>
      <c r="F329" s="2">
        <v>0.82</v>
      </c>
      <c r="G329" s="2">
        <v>14.14</v>
      </c>
      <c r="H329" s="2">
        <v>28.68</v>
      </c>
      <c r="I329" s="2">
        <v>722.49</v>
      </c>
      <c r="J329" s="2">
        <v>881.42</v>
      </c>
      <c r="K329" s="2">
        <v>320.62</v>
      </c>
      <c r="L329" s="2">
        <v>0.76</v>
      </c>
      <c r="M329" s="2">
        <v>14.9</v>
      </c>
      <c r="N329" s="3" t="s">
        <v>36</v>
      </c>
      <c r="O329" s="2">
        <v>1.98</v>
      </c>
    </row>
    <row r="330" spans="1:15" x14ac:dyDescent="0.25">
      <c r="A330" s="47">
        <v>44159</v>
      </c>
      <c r="B330" s="2">
        <v>0.63</v>
      </c>
      <c r="C330" s="2">
        <v>740.27</v>
      </c>
      <c r="D330" s="2">
        <v>966.07</v>
      </c>
      <c r="E330" s="2">
        <v>469.03</v>
      </c>
      <c r="F330" s="2">
        <v>0.93</v>
      </c>
      <c r="G330" s="2">
        <v>14.23</v>
      </c>
      <c r="H330" s="2">
        <v>32.35</v>
      </c>
      <c r="I330" s="2">
        <v>720.48</v>
      </c>
      <c r="J330" s="2">
        <v>971.73</v>
      </c>
      <c r="K330" s="2">
        <v>351.85</v>
      </c>
      <c r="L330" s="2">
        <v>0.66</v>
      </c>
      <c r="M330" s="2">
        <v>14.6</v>
      </c>
      <c r="N330" s="3" t="s">
        <v>36</v>
      </c>
      <c r="O330" s="2">
        <v>1.99</v>
      </c>
    </row>
    <row r="331" spans="1:15" x14ac:dyDescent="0.25">
      <c r="A331" s="47">
        <v>44160</v>
      </c>
      <c r="B331" s="2">
        <v>0.56000000000000005</v>
      </c>
      <c r="C331" s="2">
        <v>738.74</v>
      </c>
      <c r="D331" s="2">
        <v>1013.38</v>
      </c>
      <c r="E331" s="2">
        <v>493.43</v>
      </c>
      <c r="F331" s="2">
        <v>0.92</v>
      </c>
      <c r="G331" s="2">
        <v>14.27</v>
      </c>
      <c r="H331" s="2">
        <v>34.869999999999997</v>
      </c>
      <c r="I331" s="2">
        <v>540.21</v>
      </c>
      <c r="J331" s="2">
        <v>1000.35</v>
      </c>
      <c r="K331" s="2">
        <v>357.6</v>
      </c>
      <c r="L331" s="2">
        <v>0.7</v>
      </c>
      <c r="M331" s="2">
        <v>14.63</v>
      </c>
      <c r="N331" s="3" t="s">
        <v>36</v>
      </c>
      <c r="O331" s="2">
        <v>1.65</v>
      </c>
    </row>
    <row r="332" spans="1:15" x14ac:dyDescent="0.25">
      <c r="A332" s="47">
        <v>44161</v>
      </c>
      <c r="B332" s="2">
        <v>0.62</v>
      </c>
      <c r="C332" s="2">
        <v>759.01</v>
      </c>
      <c r="D332" s="2">
        <v>1055.92</v>
      </c>
      <c r="E332" s="2">
        <v>541.25</v>
      </c>
      <c r="F332" s="2">
        <v>0.88</v>
      </c>
      <c r="G332" s="2">
        <v>14</v>
      </c>
      <c r="H332" s="2">
        <v>36.86</v>
      </c>
      <c r="I332" s="2">
        <v>565.55999999999995</v>
      </c>
      <c r="J332" s="2">
        <v>1029.82</v>
      </c>
      <c r="K332" s="2">
        <v>429.87</v>
      </c>
      <c r="L332" s="2">
        <v>0.75</v>
      </c>
      <c r="M332" s="2">
        <v>14.67</v>
      </c>
      <c r="N332" s="3" t="s">
        <v>36</v>
      </c>
      <c r="O332" s="2">
        <v>1.26</v>
      </c>
    </row>
    <row r="333" spans="1:15" x14ac:dyDescent="0.25">
      <c r="A333" s="47">
        <v>44162</v>
      </c>
      <c r="B333" s="2">
        <v>0.57999999999999996</v>
      </c>
      <c r="C333" s="2">
        <v>752.8</v>
      </c>
      <c r="D333" s="2">
        <v>975.71</v>
      </c>
      <c r="E333" s="2">
        <v>654.61</v>
      </c>
      <c r="F333" s="2">
        <v>0.91</v>
      </c>
      <c r="G333" s="2">
        <v>14.11</v>
      </c>
      <c r="H333" s="2">
        <v>36.409999999999997</v>
      </c>
      <c r="I333" s="2">
        <v>517.88</v>
      </c>
      <c r="J333" s="2">
        <v>941.14</v>
      </c>
      <c r="K333" s="2">
        <v>538.44000000000005</v>
      </c>
      <c r="L333" s="2">
        <v>0.77</v>
      </c>
      <c r="M333" s="2">
        <v>14.87</v>
      </c>
      <c r="N333" s="3" t="s">
        <v>36</v>
      </c>
      <c r="O333" s="2">
        <v>1.77</v>
      </c>
    </row>
    <row r="334" spans="1:15" x14ac:dyDescent="0.25">
      <c r="A334" s="47">
        <v>44163</v>
      </c>
      <c r="B334" s="2">
        <v>1</v>
      </c>
      <c r="C334" s="2">
        <v>744.83</v>
      </c>
      <c r="D334" s="2">
        <v>934.41</v>
      </c>
      <c r="E334" s="2">
        <v>672.03</v>
      </c>
      <c r="F334" s="2">
        <v>0.78</v>
      </c>
      <c r="G334" s="2">
        <v>14.12</v>
      </c>
      <c r="H334" s="2">
        <v>39.799999999999997</v>
      </c>
      <c r="I334" s="2">
        <v>546.39</v>
      </c>
      <c r="J334" s="2">
        <v>1019.89</v>
      </c>
      <c r="K334" s="2">
        <v>532.63</v>
      </c>
      <c r="L334" s="2">
        <v>0.72</v>
      </c>
      <c r="M334" s="2">
        <v>14.82</v>
      </c>
      <c r="N334" s="3" t="s">
        <v>36</v>
      </c>
      <c r="O334" s="2">
        <v>1.64</v>
      </c>
    </row>
    <row r="335" spans="1:15" x14ac:dyDescent="0.25">
      <c r="A335" s="47">
        <v>44164</v>
      </c>
      <c r="B335" s="2">
        <v>0.74</v>
      </c>
      <c r="C335" s="2">
        <v>760.9</v>
      </c>
      <c r="D335" s="2">
        <v>988.85</v>
      </c>
      <c r="E335" s="2">
        <v>629.89</v>
      </c>
      <c r="F335" s="2">
        <v>0.91</v>
      </c>
      <c r="G335" s="2">
        <v>14.13</v>
      </c>
      <c r="H335" s="2">
        <v>45.1</v>
      </c>
      <c r="I335" s="2">
        <v>615.11</v>
      </c>
      <c r="J335" s="2">
        <v>958.97</v>
      </c>
      <c r="K335" s="2">
        <v>469.2</v>
      </c>
      <c r="L335" s="2">
        <v>0.67</v>
      </c>
      <c r="M335" s="2">
        <v>14.84</v>
      </c>
      <c r="N335" s="3" t="s">
        <v>36</v>
      </c>
      <c r="O335" s="2">
        <v>2</v>
      </c>
    </row>
    <row r="336" spans="1:15" x14ac:dyDescent="0.25">
      <c r="A336" s="47">
        <v>44165</v>
      </c>
      <c r="B336" s="2">
        <v>0.61</v>
      </c>
      <c r="C336" s="2">
        <v>753.27</v>
      </c>
      <c r="D336" s="2">
        <v>1017.7</v>
      </c>
      <c r="E336" s="2">
        <v>584.94000000000005</v>
      </c>
      <c r="F336" s="2">
        <v>0.87</v>
      </c>
      <c r="G336" s="2">
        <v>14.16</v>
      </c>
      <c r="H336" s="2">
        <v>49.23</v>
      </c>
      <c r="I336" s="2">
        <v>649.58000000000004</v>
      </c>
      <c r="J336" s="2">
        <v>962.14</v>
      </c>
      <c r="K336" s="2">
        <v>436.67</v>
      </c>
      <c r="L336" s="2">
        <v>0.66</v>
      </c>
      <c r="M336" s="2">
        <v>15.37</v>
      </c>
      <c r="N336" s="3" t="s">
        <v>36</v>
      </c>
      <c r="O336" s="3" t="s">
        <v>36</v>
      </c>
    </row>
    <row r="337" spans="1:15" x14ac:dyDescent="0.25">
      <c r="A337" s="47">
        <v>44166</v>
      </c>
      <c r="B337" s="2">
        <v>0.7</v>
      </c>
      <c r="C337" s="2">
        <v>738.29</v>
      </c>
      <c r="D337" s="2">
        <v>948.78</v>
      </c>
      <c r="E337" s="2">
        <v>639.54</v>
      </c>
      <c r="F337" s="2">
        <v>0.81</v>
      </c>
      <c r="G337" s="2">
        <v>14.8</v>
      </c>
      <c r="H337" s="2">
        <v>36</v>
      </c>
      <c r="I337" s="2">
        <v>603.32000000000005</v>
      </c>
      <c r="J337" s="2">
        <v>948.31</v>
      </c>
      <c r="K337" s="2">
        <v>453.68</v>
      </c>
      <c r="L337" s="2">
        <v>0.73</v>
      </c>
      <c r="M337" s="2">
        <v>14.81</v>
      </c>
      <c r="N337" s="3" t="s">
        <v>36</v>
      </c>
      <c r="O337" s="2">
        <v>1.79</v>
      </c>
    </row>
    <row r="338" spans="1:15" x14ac:dyDescent="0.25">
      <c r="A338" s="47">
        <v>44167</v>
      </c>
      <c r="B338" s="2">
        <v>0.38</v>
      </c>
      <c r="C338" s="2">
        <v>761.53</v>
      </c>
      <c r="D338" s="2">
        <v>1073.0899999999999</v>
      </c>
      <c r="E338" s="2">
        <v>662.87</v>
      </c>
      <c r="F338" s="2">
        <v>0.86</v>
      </c>
      <c r="G338" s="2">
        <v>14.01</v>
      </c>
      <c r="H338" s="2">
        <v>33.53</v>
      </c>
      <c r="I338" s="2">
        <v>628.54</v>
      </c>
      <c r="J338" s="2">
        <v>979.23</v>
      </c>
      <c r="K338" s="2">
        <v>495.32</v>
      </c>
      <c r="L338" s="2">
        <v>0.75</v>
      </c>
      <c r="M338" s="2">
        <v>15</v>
      </c>
      <c r="N338" s="3" t="s">
        <v>36</v>
      </c>
      <c r="O338" s="2">
        <v>2</v>
      </c>
    </row>
    <row r="339" spans="1:15" x14ac:dyDescent="0.25">
      <c r="A339" s="47">
        <v>44168</v>
      </c>
      <c r="B339" s="2">
        <v>0.96</v>
      </c>
      <c r="C339" s="2">
        <v>761.55</v>
      </c>
      <c r="D339" s="2">
        <v>1051.5999999999999</v>
      </c>
      <c r="E339" s="2">
        <v>650.91999999999996</v>
      </c>
      <c r="F339" s="2">
        <v>0.75</v>
      </c>
      <c r="G339" s="2">
        <v>13.97</v>
      </c>
      <c r="H339" s="2">
        <v>34.119999999999997</v>
      </c>
      <c r="I339" s="2">
        <v>578.36</v>
      </c>
      <c r="J339" s="2">
        <v>947.85</v>
      </c>
      <c r="K339" s="2">
        <v>484.03</v>
      </c>
      <c r="L339" s="2">
        <v>0.71</v>
      </c>
      <c r="M339" s="2">
        <v>15.02</v>
      </c>
      <c r="N339" s="3" t="s">
        <v>36</v>
      </c>
      <c r="O339" s="2">
        <v>1.18</v>
      </c>
    </row>
    <row r="340" spans="1:15" x14ac:dyDescent="0.25">
      <c r="A340" s="47">
        <v>44169</v>
      </c>
      <c r="B340" s="2">
        <v>0.53</v>
      </c>
      <c r="C340" s="2">
        <v>759.82</v>
      </c>
      <c r="D340" s="2">
        <v>979.09</v>
      </c>
      <c r="E340" s="2">
        <v>607.41999999999996</v>
      </c>
      <c r="F340" s="2">
        <v>0.83</v>
      </c>
      <c r="G340" s="2">
        <v>14.18</v>
      </c>
      <c r="H340" s="2">
        <v>36.090000000000003</v>
      </c>
      <c r="I340" s="2">
        <v>613.14</v>
      </c>
      <c r="J340" s="2">
        <v>939.37</v>
      </c>
      <c r="K340" s="2">
        <v>466.77</v>
      </c>
      <c r="L340" s="2">
        <v>0.59</v>
      </c>
      <c r="M340" s="2">
        <v>14.94</v>
      </c>
      <c r="N340" s="3" t="s">
        <v>36</v>
      </c>
      <c r="O340" s="2">
        <v>1.98</v>
      </c>
    </row>
    <row r="341" spans="1:15" x14ac:dyDescent="0.25">
      <c r="A341" s="47">
        <v>44170</v>
      </c>
      <c r="B341" s="2">
        <v>0.63</v>
      </c>
      <c r="C341" s="2">
        <v>760.13</v>
      </c>
      <c r="D341" s="2">
        <v>1001</v>
      </c>
      <c r="E341" s="2">
        <v>615.02</v>
      </c>
      <c r="F341" s="2">
        <v>0.84</v>
      </c>
      <c r="G341" s="2">
        <v>13.92</v>
      </c>
      <c r="H341" s="2">
        <v>37.700000000000003</v>
      </c>
      <c r="I341" s="2">
        <v>598.55999999999995</v>
      </c>
      <c r="J341" s="2">
        <v>931.79</v>
      </c>
      <c r="K341" s="2">
        <v>483.84</v>
      </c>
      <c r="L341" s="2">
        <v>0.74</v>
      </c>
      <c r="M341" s="2">
        <v>14.92</v>
      </c>
      <c r="N341" s="3" t="s">
        <v>36</v>
      </c>
      <c r="O341" s="2">
        <v>1.91</v>
      </c>
    </row>
    <row r="342" spans="1:15" x14ac:dyDescent="0.25">
      <c r="A342" s="47">
        <v>44171</v>
      </c>
      <c r="B342" s="2">
        <v>0.59</v>
      </c>
      <c r="C342" s="2">
        <v>762.08</v>
      </c>
      <c r="D342" s="2">
        <v>1079.6600000000001</v>
      </c>
      <c r="E342" s="2">
        <v>617.05999999999995</v>
      </c>
      <c r="F342" s="2">
        <v>0.8</v>
      </c>
      <c r="G342" s="2">
        <v>13.65</v>
      </c>
      <c r="H342" s="2">
        <v>38.04</v>
      </c>
      <c r="I342" s="2">
        <v>568.85</v>
      </c>
      <c r="J342" s="2">
        <v>981.42</v>
      </c>
      <c r="K342" s="2">
        <v>474.2</v>
      </c>
      <c r="L342" s="2">
        <v>0.7</v>
      </c>
      <c r="M342" s="2">
        <v>14.85</v>
      </c>
      <c r="N342" s="3" t="s">
        <v>36</v>
      </c>
      <c r="O342" s="2">
        <v>1.86</v>
      </c>
    </row>
    <row r="343" spans="1:15" x14ac:dyDescent="0.25">
      <c r="A343" s="47">
        <v>44172</v>
      </c>
      <c r="B343" s="2">
        <v>0.59</v>
      </c>
      <c r="C343" s="2">
        <v>761.8</v>
      </c>
      <c r="D343" s="2">
        <v>1081.67</v>
      </c>
      <c r="E343" s="2">
        <v>627.01</v>
      </c>
      <c r="F343" s="2">
        <v>0.83</v>
      </c>
      <c r="G343" s="2">
        <v>14.08</v>
      </c>
      <c r="H343" s="2">
        <v>39.68</v>
      </c>
      <c r="I343" s="2">
        <v>586.91</v>
      </c>
      <c r="J343" s="2">
        <v>1290.8</v>
      </c>
      <c r="K343" s="2">
        <v>462.3</v>
      </c>
      <c r="L343" s="2">
        <v>0.74</v>
      </c>
      <c r="M343" s="2">
        <v>14.96</v>
      </c>
      <c r="N343" s="3" t="s">
        <v>36</v>
      </c>
      <c r="O343" s="2">
        <v>1.98</v>
      </c>
    </row>
    <row r="344" spans="1:15" x14ac:dyDescent="0.25">
      <c r="A344" s="47">
        <v>44173</v>
      </c>
      <c r="B344" s="2">
        <v>0.84</v>
      </c>
      <c r="C344" s="2">
        <v>793.79</v>
      </c>
      <c r="D344" s="2">
        <v>893.13</v>
      </c>
      <c r="E344" s="2">
        <v>604.04999999999995</v>
      </c>
      <c r="F344" s="2">
        <v>0.84</v>
      </c>
      <c r="G344" s="2">
        <v>14.04</v>
      </c>
      <c r="H344" s="2">
        <v>42.18</v>
      </c>
      <c r="I344" s="2">
        <v>757.83</v>
      </c>
      <c r="J344" s="2">
        <v>954.84</v>
      </c>
      <c r="K344" s="2">
        <v>459.09</v>
      </c>
      <c r="L344" s="2">
        <v>0.63</v>
      </c>
      <c r="M344" s="2">
        <v>14.8</v>
      </c>
      <c r="N344" s="3" t="s">
        <v>36</v>
      </c>
      <c r="O344" s="2">
        <v>1.95</v>
      </c>
    </row>
    <row r="345" spans="1:15" x14ac:dyDescent="0.25">
      <c r="A345" s="47">
        <v>44174</v>
      </c>
      <c r="B345" s="2">
        <v>0.59</v>
      </c>
      <c r="C345" s="2">
        <v>762.41</v>
      </c>
      <c r="D345" s="2">
        <v>969.14</v>
      </c>
      <c r="E345" s="2">
        <v>595.97</v>
      </c>
      <c r="F345" s="2">
        <v>0.86</v>
      </c>
      <c r="G345" s="2">
        <v>13.74</v>
      </c>
      <c r="H345" s="2">
        <v>43.28</v>
      </c>
      <c r="I345" s="2">
        <v>633.88</v>
      </c>
      <c r="J345" s="2">
        <v>918.21</v>
      </c>
      <c r="K345" s="2">
        <v>452.83</v>
      </c>
      <c r="L345" s="2">
        <v>0.38</v>
      </c>
      <c r="M345" s="2">
        <v>14.81</v>
      </c>
      <c r="N345" s="3" t="s">
        <v>36</v>
      </c>
      <c r="O345" s="2">
        <v>1.42</v>
      </c>
    </row>
    <row r="346" spans="1:15" x14ac:dyDescent="0.25">
      <c r="A346" s="47">
        <v>44175</v>
      </c>
      <c r="B346" s="2">
        <v>1.1000000000000001</v>
      </c>
      <c r="C346" s="2">
        <v>685.85</v>
      </c>
      <c r="D346" s="2">
        <v>978.44</v>
      </c>
      <c r="E346" s="2">
        <v>600.80999999999995</v>
      </c>
      <c r="F346" s="2">
        <v>0.8</v>
      </c>
      <c r="G346" s="2">
        <v>13.69</v>
      </c>
      <c r="H346" s="2">
        <v>37.94</v>
      </c>
      <c r="I346" s="2">
        <v>570.24</v>
      </c>
      <c r="J346" s="2">
        <v>904.22</v>
      </c>
      <c r="K346" s="2">
        <v>475.58</v>
      </c>
      <c r="L346" s="2">
        <v>0.66</v>
      </c>
      <c r="M346" s="2">
        <v>14.87</v>
      </c>
      <c r="N346" s="3" t="s">
        <v>36</v>
      </c>
      <c r="O346" s="2">
        <v>1.37</v>
      </c>
    </row>
    <row r="347" spans="1:15" x14ac:dyDescent="0.25">
      <c r="A347" s="47">
        <v>44176</v>
      </c>
      <c r="B347" s="2">
        <v>0.73</v>
      </c>
      <c r="C347" s="2">
        <v>763.53</v>
      </c>
      <c r="D347" s="2">
        <v>934.66</v>
      </c>
      <c r="E347" s="2">
        <v>730.22</v>
      </c>
      <c r="F347" s="2">
        <v>0.81</v>
      </c>
      <c r="G347" s="2">
        <v>14.06</v>
      </c>
      <c r="H347" s="2">
        <v>33.36</v>
      </c>
      <c r="I347" s="2">
        <v>630.54999999999995</v>
      </c>
      <c r="J347" s="2">
        <v>960.21</v>
      </c>
      <c r="K347" s="2">
        <v>550.07000000000005</v>
      </c>
      <c r="L347" s="2">
        <v>0.72</v>
      </c>
      <c r="M347" s="2">
        <v>15.14</v>
      </c>
      <c r="N347" s="3" t="s">
        <v>36</v>
      </c>
      <c r="O347" s="2">
        <v>1.82</v>
      </c>
    </row>
    <row r="348" spans="1:15" x14ac:dyDescent="0.25">
      <c r="A348" s="47">
        <v>44177</v>
      </c>
      <c r="B348" s="2">
        <v>0.98</v>
      </c>
      <c r="C348" s="2">
        <v>761.35</v>
      </c>
      <c r="D348" s="2">
        <v>870.37</v>
      </c>
      <c r="E348" s="2">
        <v>757.97</v>
      </c>
      <c r="F348" s="2">
        <v>0.85</v>
      </c>
      <c r="G348" s="2">
        <v>14.08</v>
      </c>
      <c r="H348" s="3" t="s">
        <v>70</v>
      </c>
      <c r="I348" s="3" t="s">
        <v>70</v>
      </c>
      <c r="J348" s="3" t="s">
        <v>70</v>
      </c>
      <c r="K348" s="3" t="s">
        <v>70</v>
      </c>
      <c r="L348" s="3" t="s">
        <v>70</v>
      </c>
      <c r="M348" s="2">
        <v>15.52</v>
      </c>
      <c r="N348" s="3" t="s">
        <v>36</v>
      </c>
      <c r="O348" s="2">
        <v>2.0499999999999998</v>
      </c>
    </row>
    <row r="349" spans="1:15" x14ac:dyDescent="0.25">
      <c r="A349" s="47">
        <v>44178</v>
      </c>
      <c r="B349" s="2">
        <v>0.63</v>
      </c>
      <c r="C349" s="2">
        <v>761.7</v>
      </c>
      <c r="D349" s="2">
        <v>916.21</v>
      </c>
      <c r="E349" s="2">
        <v>760.37</v>
      </c>
      <c r="F349" s="2">
        <v>0.85</v>
      </c>
      <c r="G349" s="2">
        <v>14.02</v>
      </c>
      <c r="H349" s="2">
        <v>34.479999999999997</v>
      </c>
      <c r="I349" s="2">
        <v>758.1</v>
      </c>
      <c r="J349" s="2">
        <v>845.77</v>
      </c>
      <c r="K349" s="2">
        <v>490.56</v>
      </c>
      <c r="L349" s="2">
        <v>0.71</v>
      </c>
      <c r="M349" s="2">
        <v>14.84</v>
      </c>
      <c r="N349" s="3" t="s">
        <v>36</v>
      </c>
      <c r="O349" s="2">
        <v>2.0299999999999998</v>
      </c>
    </row>
    <row r="350" spans="1:15" x14ac:dyDescent="0.25">
      <c r="A350" s="47">
        <v>44179</v>
      </c>
      <c r="B350" s="2">
        <v>0.67</v>
      </c>
      <c r="C350" s="2">
        <v>762.18</v>
      </c>
      <c r="D350" s="2">
        <v>835.08</v>
      </c>
      <c r="E350" s="2">
        <v>760.14</v>
      </c>
      <c r="F350" s="2">
        <v>0.87</v>
      </c>
      <c r="G350" s="2">
        <v>14.36</v>
      </c>
      <c r="H350" s="3" t="s">
        <v>70</v>
      </c>
      <c r="I350" s="3" t="s">
        <v>70</v>
      </c>
      <c r="J350" s="3" t="s">
        <v>70</v>
      </c>
      <c r="K350" s="3" t="s">
        <v>70</v>
      </c>
      <c r="L350" s="3" t="s">
        <v>70</v>
      </c>
      <c r="M350" s="2">
        <v>14.26</v>
      </c>
      <c r="N350" s="3" t="s">
        <v>36</v>
      </c>
      <c r="O350" s="2">
        <v>1.49</v>
      </c>
    </row>
    <row r="351" spans="1:15" x14ac:dyDescent="0.25">
      <c r="A351" s="47">
        <v>44180</v>
      </c>
      <c r="B351" s="2">
        <v>0.75</v>
      </c>
      <c r="C351" s="2">
        <v>762.43</v>
      </c>
      <c r="D351" s="2">
        <v>941.98</v>
      </c>
      <c r="E351" s="2">
        <v>728.72</v>
      </c>
      <c r="F351" s="2">
        <v>0.86</v>
      </c>
      <c r="G351" s="2">
        <v>13.76</v>
      </c>
      <c r="H351" s="3" t="s">
        <v>70</v>
      </c>
      <c r="I351" s="3" t="s">
        <v>70</v>
      </c>
      <c r="J351" s="3" t="s">
        <v>70</v>
      </c>
      <c r="K351" s="3" t="s">
        <v>70</v>
      </c>
      <c r="L351" s="3" t="s">
        <v>70</v>
      </c>
      <c r="M351" s="2">
        <v>14.66</v>
      </c>
      <c r="N351" s="3" t="s">
        <v>36</v>
      </c>
      <c r="O351" s="2">
        <v>1.59</v>
      </c>
    </row>
    <row r="352" spans="1:15" x14ac:dyDescent="0.25">
      <c r="A352" s="47">
        <v>44181</v>
      </c>
      <c r="B352" s="2">
        <v>0.67</v>
      </c>
      <c r="C352" s="2">
        <v>760.11</v>
      </c>
      <c r="D352" s="2">
        <v>883</v>
      </c>
      <c r="E352" s="2">
        <v>694.21</v>
      </c>
      <c r="F352" s="2">
        <v>0.87</v>
      </c>
      <c r="G352" s="2">
        <v>13.91</v>
      </c>
      <c r="H352" s="2">
        <v>38.68</v>
      </c>
      <c r="I352" s="2">
        <v>781.61</v>
      </c>
      <c r="J352" s="2">
        <v>724.27</v>
      </c>
      <c r="K352" s="2">
        <v>485.69</v>
      </c>
      <c r="L352" s="2">
        <v>0.67</v>
      </c>
      <c r="M352" s="2">
        <v>14.64</v>
      </c>
      <c r="N352" s="3" t="s">
        <v>36</v>
      </c>
      <c r="O352" s="2">
        <v>17.91</v>
      </c>
    </row>
    <row r="353" spans="1:15" x14ac:dyDescent="0.25">
      <c r="A353" s="47">
        <v>44182</v>
      </c>
      <c r="B353" s="2">
        <v>0.56999999999999995</v>
      </c>
      <c r="C353" s="2">
        <v>757.1</v>
      </c>
      <c r="D353" s="2">
        <v>1020.89</v>
      </c>
      <c r="E353" s="2">
        <v>606.24</v>
      </c>
      <c r="F353" s="2">
        <v>0.84</v>
      </c>
      <c r="G353" s="2">
        <v>13.45</v>
      </c>
      <c r="H353" s="2">
        <v>29.65</v>
      </c>
      <c r="I353" s="2">
        <v>791.26</v>
      </c>
      <c r="J353" s="2">
        <v>876.62</v>
      </c>
      <c r="K353" s="2">
        <v>401.38</v>
      </c>
      <c r="L353" s="2">
        <v>0.67</v>
      </c>
      <c r="M353" s="2">
        <v>14.27</v>
      </c>
      <c r="N353" s="3" t="s">
        <v>36</v>
      </c>
      <c r="O353" s="2">
        <v>0.43</v>
      </c>
    </row>
    <row r="354" spans="1:15" x14ac:dyDescent="0.25">
      <c r="A354" s="47">
        <v>44183</v>
      </c>
      <c r="B354" s="2">
        <v>0.77</v>
      </c>
      <c r="C354" s="2">
        <v>765.19</v>
      </c>
      <c r="D354" s="2">
        <v>960.69</v>
      </c>
      <c r="E354" s="2">
        <v>566.27</v>
      </c>
      <c r="F354" s="2">
        <v>0.89</v>
      </c>
      <c r="G354" s="2">
        <v>13.8</v>
      </c>
      <c r="H354" s="2">
        <v>33.04</v>
      </c>
      <c r="I354" s="2">
        <v>778.68</v>
      </c>
      <c r="J354" s="2">
        <v>917.35</v>
      </c>
      <c r="K354" s="2">
        <v>394.55</v>
      </c>
      <c r="L354" s="2">
        <v>0.67</v>
      </c>
      <c r="M354" s="2">
        <v>14.56</v>
      </c>
      <c r="N354" s="3" t="s">
        <v>36</v>
      </c>
      <c r="O354" s="2">
        <v>0.37</v>
      </c>
    </row>
    <row r="355" spans="1:15" x14ac:dyDescent="0.25">
      <c r="A355" s="47">
        <v>44184</v>
      </c>
      <c r="B355" s="2">
        <v>0.96</v>
      </c>
      <c r="C355" s="2">
        <v>762.63</v>
      </c>
      <c r="D355" s="2">
        <v>913.8</v>
      </c>
      <c r="E355" s="2">
        <v>590.69000000000005</v>
      </c>
      <c r="F355" s="2">
        <v>0.89</v>
      </c>
      <c r="G355" s="2">
        <v>13.88</v>
      </c>
      <c r="H355" s="2">
        <v>36.659999999999997</v>
      </c>
      <c r="I355" s="2">
        <v>746.83</v>
      </c>
      <c r="J355" s="2">
        <v>918.57</v>
      </c>
      <c r="K355" s="2">
        <v>401.59</v>
      </c>
      <c r="L355" s="2">
        <v>0.73</v>
      </c>
      <c r="M355" s="2">
        <v>14.69</v>
      </c>
      <c r="N355" s="3" t="s">
        <v>36</v>
      </c>
      <c r="O355" s="2">
        <v>1.41</v>
      </c>
    </row>
    <row r="356" spans="1:15" x14ac:dyDescent="0.25">
      <c r="A356" s="47">
        <v>44185</v>
      </c>
      <c r="B356" s="2">
        <v>0.89</v>
      </c>
      <c r="C356" s="2">
        <v>760.21</v>
      </c>
      <c r="D356" s="2">
        <v>897.27</v>
      </c>
      <c r="E356" s="2">
        <v>616.96</v>
      </c>
      <c r="F356" s="2">
        <v>0.85</v>
      </c>
      <c r="G356" s="2">
        <v>13.74</v>
      </c>
      <c r="H356" s="2">
        <v>38.08</v>
      </c>
      <c r="I356" s="2">
        <v>720.2</v>
      </c>
      <c r="J356" s="2">
        <v>933.85</v>
      </c>
      <c r="K356" s="2">
        <v>420.32</v>
      </c>
      <c r="L356" s="2">
        <v>0.67</v>
      </c>
      <c r="M356" s="2">
        <v>14.54</v>
      </c>
      <c r="N356" s="3" t="s">
        <v>36</v>
      </c>
      <c r="O356" s="2">
        <v>1.79</v>
      </c>
    </row>
    <row r="357" spans="1:15" x14ac:dyDescent="0.25">
      <c r="A357" s="47">
        <v>44186</v>
      </c>
      <c r="B357" s="2">
        <v>1.46</v>
      </c>
      <c r="C357" s="2">
        <v>762.46</v>
      </c>
      <c r="D357" s="2">
        <v>885.6</v>
      </c>
      <c r="E357" s="2">
        <v>600.27</v>
      </c>
      <c r="F357" s="2">
        <v>0.86</v>
      </c>
      <c r="G357" s="2">
        <v>13.95</v>
      </c>
      <c r="H357" s="2">
        <v>39.200000000000003</v>
      </c>
      <c r="I357" s="2">
        <v>677.09</v>
      </c>
      <c r="J357" s="2">
        <v>957.66</v>
      </c>
      <c r="K357" s="2">
        <v>424.46</v>
      </c>
      <c r="L357" s="2">
        <v>0.74</v>
      </c>
      <c r="M357" s="2">
        <v>14.69</v>
      </c>
      <c r="N357" s="3" t="s">
        <v>36</v>
      </c>
      <c r="O357" s="2">
        <v>1.96</v>
      </c>
    </row>
    <row r="358" spans="1:15" x14ac:dyDescent="0.25">
      <c r="A358" s="47">
        <v>44187</v>
      </c>
      <c r="B358" s="2">
        <v>0.95</v>
      </c>
      <c r="C358" s="2">
        <v>778.81</v>
      </c>
      <c r="D358" s="2">
        <v>933.91</v>
      </c>
      <c r="E358" s="2">
        <v>576.6</v>
      </c>
      <c r="F358" s="2">
        <v>0.9</v>
      </c>
      <c r="G358" s="2">
        <v>14.04</v>
      </c>
      <c r="H358" s="2">
        <v>40.94</v>
      </c>
      <c r="I358" s="2">
        <v>640.75</v>
      </c>
      <c r="J358" s="2">
        <v>1018.86</v>
      </c>
      <c r="K358" s="2">
        <v>432.43</v>
      </c>
      <c r="L358" s="2">
        <v>0.94</v>
      </c>
      <c r="M358" s="2">
        <v>14.56</v>
      </c>
      <c r="N358" s="3" t="s">
        <v>36</v>
      </c>
      <c r="O358" s="2">
        <v>1.6</v>
      </c>
    </row>
    <row r="359" spans="1:15" x14ac:dyDescent="0.25">
      <c r="A359" s="47">
        <v>44188</v>
      </c>
      <c r="B359" s="2">
        <v>0.84</v>
      </c>
      <c r="C359" s="2">
        <v>762.27</v>
      </c>
      <c r="D359" s="2">
        <v>1006.18</v>
      </c>
      <c r="E359" s="2">
        <v>608.27</v>
      </c>
      <c r="F359" s="2">
        <v>0.96</v>
      </c>
      <c r="G359" s="2">
        <v>14.38</v>
      </c>
      <c r="H359" s="2">
        <v>45.11</v>
      </c>
      <c r="I359" s="2">
        <v>710.16</v>
      </c>
      <c r="J359" s="2">
        <v>1010.35</v>
      </c>
      <c r="K359" s="2">
        <v>444.52</v>
      </c>
      <c r="L359" s="2">
        <v>0.73</v>
      </c>
      <c r="M359" s="2">
        <v>14.83</v>
      </c>
      <c r="N359" s="3" t="s">
        <v>36</v>
      </c>
      <c r="O359" s="2">
        <v>1.04</v>
      </c>
    </row>
    <row r="360" spans="1:15" x14ac:dyDescent="0.25">
      <c r="A360" s="47">
        <v>44189</v>
      </c>
      <c r="B360" s="2">
        <v>0.8</v>
      </c>
      <c r="C360" s="2">
        <v>761.66</v>
      </c>
      <c r="D360" s="2">
        <v>1066.22</v>
      </c>
      <c r="E360" s="2">
        <v>601.22</v>
      </c>
      <c r="F360" s="2">
        <v>0.9</v>
      </c>
      <c r="G360" s="2">
        <v>13.9</v>
      </c>
      <c r="H360" s="2">
        <v>49.63</v>
      </c>
      <c r="I360" s="2">
        <v>729.07</v>
      </c>
      <c r="J360" s="2">
        <v>982.16</v>
      </c>
      <c r="K360" s="2">
        <v>439.9</v>
      </c>
      <c r="L360" s="2">
        <v>0.7</v>
      </c>
      <c r="M360" s="2">
        <v>14.99</v>
      </c>
      <c r="N360" s="3" t="s">
        <v>36</v>
      </c>
      <c r="O360" s="2">
        <v>1.54</v>
      </c>
    </row>
    <row r="361" spans="1:15" x14ac:dyDescent="0.25">
      <c r="A361" s="47">
        <v>44190</v>
      </c>
      <c r="B361" s="2">
        <v>0.72</v>
      </c>
      <c r="C361" s="2">
        <v>762.16</v>
      </c>
      <c r="D361" s="2">
        <v>1061.98</v>
      </c>
      <c r="E361" s="2">
        <v>618.66999999999996</v>
      </c>
      <c r="F361" s="2">
        <v>0.9</v>
      </c>
      <c r="G361" s="2">
        <v>13.83</v>
      </c>
      <c r="H361" s="2">
        <v>39.799999999999997</v>
      </c>
      <c r="I361" s="2">
        <v>744.54</v>
      </c>
      <c r="J361" s="2">
        <v>988.58</v>
      </c>
      <c r="K361" s="2">
        <v>443.84</v>
      </c>
      <c r="L361" s="2">
        <v>0.73</v>
      </c>
      <c r="M361" s="2">
        <v>15.03</v>
      </c>
      <c r="N361" s="3" t="s">
        <v>36</v>
      </c>
      <c r="O361" s="2">
        <v>1.07</v>
      </c>
    </row>
    <row r="362" spans="1:15" x14ac:dyDescent="0.25">
      <c r="A362" s="47">
        <v>44191</v>
      </c>
      <c r="B362" s="2">
        <v>1.1299999999999999</v>
      </c>
      <c r="C362" s="2">
        <v>762.7</v>
      </c>
      <c r="D362" s="2">
        <v>1005.37</v>
      </c>
      <c r="E362" s="2">
        <v>610.59</v>
      </c>
      <c r="F362" s="2">
        <v>0.91</v>
      </c>
      <c r="G362" s="2">
        <v>14.04</v>
      </c>
      <c r="H362" s="2">
        <v>31.9</v>
      </c>
      <c r="I362" s="53">
        <v>839.86</v>
      </c>
      <c r="J362" s="2">
        <v>942.78</v>
      </c>
      <c r="K362" s="2">
        <v>461.15</v>
      </c>
      <c r="L362" s="2">
        <v>0.82</v>
      </c>
      <c r="M362" s="2">
        <v>15.25</v>
      </c>
      <c r="N362" s="3" t="s">
        <v>36</v>
      </c>
      <c r="O362" s="3" t="s">
        <v>36</v>
      </c>
    </row>
    <row r="363" spans="1:15" x14ac:dyDescent="0.25">
      <c r="A363" s="47">
        <v>44192</v>
      </c>
      <c r="B363" s="2">
        <v>1.62</v>
      </c>
      <c r="C363" s="2">
        <v>762.77</v>
      </c>
      <c r="D363" s="2">
        <v>1003.78</v>
      </c>
      <c r="E363" s="2">
        <v>616.41</v>
      </c>
      <c r="F363" s="2">
        <v>0.89</v>
      </c>
      <c r="G363" s="2">
        <v>14.14</v>
      </c>
      <c r="H363" s="2">
        <v>33.68</v>
      </c>
      <c r="I363" s="2">
        <v>786.65</v>
      </c>
      <c r="J363" s="2">
        <v>963.27</v>
      </c>
      <c r="K363" s="2">
        <v>463.99</v>
      </c>
      <c r="L363" s="2">
        <v>0.79</v>
      </c>
      <c r="M363" s="2">
        <v>15.17</v>
      </c>
      <c r="N363" s="3" t="s">
        <v>36</v>
      </c>
      <c r="O363" s="2">
        <v>0.21</v>
      </c>
    </row>
    <row r="364" spans="1:15" x14ac:dyDescent="0.25">
      <c r="A364" s="47">
        <v>44193</v>
      </c>
      <c r="B364" s="2">
        <v>1.26</v>
      </c>
      <c r="C364" s="2">
        <v>750.95</v>
      </c>
      <c r="D364" s="2">
        <v>1030.67</v>
      </c>
      <c r="E364" s="2">
        <v>666.8</v>
      </c>
      <c r="F364" s="2">
        <v>0.88</v>
      </c>
      <c r="G364" s="2">
        <v>14.08</v>
      </c>
      <c r="H364" s="2">
        <v>34.479999999999997</v>
      </c>
      <c r="I364" s="2">
        <v>793.38</v>
      </c>
      <c r="J364" s="2">
        <v>995.69</v>
      </c>
      <c r="K364" s="2">
        <v>547.98</v>
      </c>
      <c r="L364" s="2">
        <v>0.75</v>
      </c>
      <c r="M364" s="2">
        <v>14.99</v>
      </c>
      <c r="N364" s="3" t="s">
        <v>36</v>
      </c>
      <c r="O364" s="2">
        <v>0.28000000000000003</v>
      </c>
    </row>
    <row r="365" spans="1:15" x14ac:dyDescent="0.25">
      <c r="A365" s="47">
        <v>44194</v>
      </c>
      <c r="B365" s="2">
        <v>1.38</v>
      </c>
      <c r="C365" s="2">
        <v>762.41</v>
      </c>
      <c r="D365" s="2">
        <v>1146.8699999999999</v>
      </c>
      <c r="E365" s="2">
        <v>746.6</v>
      </c>
      <c r="F365" s="2">
        <v>0.85</v>
      </c>
      <c r="G365" s="2">
        <v>13.64</v>
      </c>
      <c r="H365" s="2">
        <v>32.81</v>
      </c>
      <c r="I365" s="2">
        <v>713.06</v>
      </c>
      <c r="J365" s="2">
        <v>956.48</v>
      </c>
      <c r="K365" s="2">
        <v>530.71</v>
      </c>
      <c r="L365" s="2">
        <v>0.68</v>
      </c>
      <c r="M365" s="2">
        <v>14.51</v>
      </c>
      <c r="N365" s="3" t="s">
        <v>36</v>
      </c>
      <c r="O365" s="2">
        <v>0.45</v>
      </c>
    </row>
    <row r="366" spans="1:15" x14ac:dyDescent="0.25">
      <c r="A366" s="47">
        <v>44195</v>
      </c>
      <c r="B366" s="2">
        <v>1.01</v>
      </c>
      <c r="C366" s="2">
        <v>742.58</v>
      </c>
      <c r="D366" s="2">
        <v>1154.18</v>
      </c>
      <c r="E366" s="2">
        <v>782.62</v>
      </c>
      <c r="F366" s="2">
        <v>0.84</v>
      </c>
      <c r="G366" s="2">
        <v>14.12</v>
      </c>
      <c r="H366" s="2">
        <v>37.08</v>
      </c>
      <c r="I366" s="2">
        <v>743.21</v>
      </c>
      <c r="J366" s="2">
        <v>1092.57</v>
      </c>
      <c r="K366" s="2">
        <v>594.48</v>
      </c>
      <c r="L366" s="2">
        <v>0.69</v>
      </c>
      <c r="M366" s="2">
        <v>14.88</v>
      </c>
      <c r="N366" s="3" t="s">
        <v>36</v>
      </c>
      <c r="O366" s="2">
        <v>0.1</v>
      </c>
    </row>
    <row r="367" spans="1:15" x14ac:dyDescent="0.25">
      <c r="A367" s="47">
        <v>44196</v>
      </c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</row>
    <row r="368" spans="1:15" x14ac:dyDescent="0.25">
      <c r="A368" s="47">
        <v>44197</v>
      </c>
      <c r="B368" s="2">
        <v>1.07</v>
      </c>
      <c r="C368" s="2">
        <v>762.14</v>
      </c>
      <c r="D368" s="2">
        <v>1020.45</v>
      </c>
      <c r="E368" s="2">
        <v>677.88</v>
      </c>
      <c r="F368" s="2">
        <v>0.91</v>
      </c>
      <c r="G368" s="2">
        <v>14.2</v>
      </c>
      <c r="H368" s="2">
        <v>34.21</v>
      </c>
      <c r="I368" s="2">
        <v>756.84</v>
      </c>
      <c r="J368" s="2">
        <v>964.69</v>
      </c>
      <c r="K368" s="2">
        <v>406.67</v>
      </c>
      <c r="L368" s="2">
        <v>0.7</v>
      </c>
      <c r="M368" s="2">
        <v>14.46</v>
      </c>
      <c r="N368" s="3" t="s">
        <v>36</v>
      </c>
      <c r="O368" s="3" t="s">
        <v>36</v>
      </c>
    </row>
    <row r="369" spans="1:15" x14ac:dyDescent="0.25">
      <c r="A369" s="47">
        <v>44198</v>
      </c>
      <c r="B369" s="2">
        <v>1.1299999999999999</v>
      </c>
      <c r="C369" s="2">
        <v>760.97</v>
      </c>
      <c r="D369" s="2">
        <v>975.28</v>
      </c>
      <c r="E369" s="2">
        <v>655.29</v>
      </c>
      <c r="F369" s="2">
        <v>0.96</v>
      </c>
      <c r="G369" s="2">
        <v>14.29</v>
      </c>
      <c r="H369" s="2">
        <v>38.200000000000003</v>
      </c>
      <c r="I369" s="2">
        <v>776.57</v>
      </c>
      <c r="J369" s="2">
        <v>879.55</v>
      </c>
      <c r="K369" s="2">
        <v>408.63</v>
      </c>
      <c r="L369" s="2">
        <v>0.79</v>
      </c>
      <c r="M369" s="2">
        <v>14.91</v>
      </c>
      <c r="N369" s="3" t="s">
        <v>36</v>
      </c>
      <c r="O369" s="3" t="s">
        <v>36</v>
      </c>
    </row>
    <row r="370" spans="1:15" x14ac:dyDescent="0.25">
      <c r="A370" s="47">
        <v>44199</v>
      </c>
      <c r="B370" s="2">
        <v>1.1599999999999999</v>
      </c>
      <c r="C370" s="2">
        <v>767.63</v>
      </c>
      <c r="D370" s="2">
        <v>984.94</v>
      </c>
      <c r="E370" s="2">
        <v>607.86</v>
      </c>
      <c r="F370" s="2">
        <v>0.93</v>
      </c>
      <c r="G370" s="2">
        <v>14.07</v>
      </c>
      <c r="H370" s="2">
        <v>36.590000000000003</v>
      </c>
      <c r="I370" s="2">
        <v>761.39</v>
      </c>
      <c r="J370" s="2">
        <v>913.38</v>
      </c>
      <c r="K370" s="2">
        <v>428.03</v>
      </c>
      <c r="L370" s="2">
        <v>0.75</v>
      </c>
      <c r="M370" s="2">
        <v>14.87</v>
      </c>
      <c r="N370" s="3" t="s">
        <v>36</v>
      </c>
      <c r="O370" s="3" t="s">
        <v>36</v>
      </c>
    </row>
    <row r="371" spans="1:15" x14ac:dyDescent="0.25">
      <c r="A371" s="47">
        <v>44200</v>
      </c>
      <c r="B371" s="2">
        <v>1.26</v>
      </c>
      <c r="C371" s="2">
        <v>765.43</v>
      </c>
      <c r="D371" s="2">
        <v>1012.62</v>
      </c>
      <c r="E371" s="2">
        <v>634.72</v>
      </c>
      <c r="F371" s="2">
        <v>0.94</v>
      </c>
      <c r="G371" s="2">
        <v>14.16</v>
      </c>
      <c r="H371" s="2">
        <v>35.49</v>
      </c>
      <c r="I371" s="2">
        <v>761.86</v>
      </c>
      <c r="J371" s="2">
        <v>940.37</v>
      </c>
      <c r="K371" s="2">
        <v>466.84</v>
      </c>
      <c r="L371" s="2">
        <v>0.73</v>
      </c>
      <c r="M371" s="2">
        <v>14.88</v>
      </c>
      <c r="N371" s="3" t="s">
        <v>36</v>
      </c>
      <c r="O371" s="2">
        <v>0.21</v>
      </c>
    </row>
    <row r="372" spans="1:15" x14ac:dyDescent="0.25">
      <c r="A372" s="47">
        <v>44201</v>
      </c>
      <c r="B372" s="2">
        <v>1.29</v>
      </c>
      <c r="C372" s="2">
        <v>762.82</v>
      </c>
      <c r="D372" s="2">
        <v>1015.44</v>
      </c>
      <c r="E372" s="2">
        <v>621.01</v>
      </c>
      <c r="F372" s="2">
        <v>0.92</v>
      </c>
      <c r="G372" s="2">
        <v>14.13</v>
      </c>
      <c r="H372" s="2">
        <v>36.130000000000003</v>
      </c>
      <c r="I372" s="2">
        <v>772.14</v>
      </c>
      <c r="J372" s="2">
        <v>915.82</v>
      </c>
      <c r="K372" s="2">
        <v>439.88</v>
      </c>
      <c r="L372" s="2">
        <v>0.72</v>
      </c>
      <c r="M372" s="2">
        <v>14.68</v>
      </c>
      <c r="N372" s="3" t="s">
        <v>36</v>
      </c>
      <c r="O372" s="2">
        <v>1.1399999999999999</v>
      </c>
    </row>
    <row r="373" spans="1:15" x14ac:dyDescent="0.25">
      <c r="A373" s="47">
        <v>44202</v>
      </c>
      <c r="B373" s="2">
        <v>1.46</v>
      </c>
      <c r="C373" s="2">
        <v>766.26</v>
      </c>
      <c r="D373" s="2">
        <v>878.27</v>
      </c>
      <c r="E373" s="2">
        <v>553.80999999999995</v>
      </c>
      <c r="F373" s="2">
        <v>0.9</v>
      </c>
      <c r="G373" s="2">
        <v>14.05</v>
      </c>
      <c r="H373" s="2">
        <v>34.869999999999997</v>
      </c>
      <c r="I373" s="2">
        <v>748.9</v>
      </c>
      <c r="J373" s="2">
        <v>998.58</v>
      </c>
      <c r="K373" s="2">
        <v>392.62</v>
      </c>
      <c r="L373" s="2">
        <v>1</v>
      </c>
      <c r="M373" s="2">
        <v>14.78</v>
      </c>
      <c r="N373" s="3" t="s">
        <v>36</v>
      </c>
      <c r="O373" s="2">
        <v>1.52</v>
      </c>
    </row>
    <row r="374" spans="1:15" x14ac:dyDescent="0.25">
      <c r="A374" s="47">
        <v>44203</v>
      </c>
      <c r="B374" s="2">
        <v>1</v>
      </c>
      <c r="C374" s="2">
        <v>747.73</v>
      </c>
      <c r="D374" s="2">
        <v>921.33</v>
      </c>
      <c r="E374" s="2">
        <v>545.49</v>
      </c>
      <c r="F374" s="2">
        <v>0.87</v>
      </c>
      <c r="G374" s="2">
        <v>13.9</v>
      </c>
      <c r="H374" s="3" t="s">
        <v>36</v>
      </c>
      <c r="I374" s="3" t="s">
        <v>36</v>
      </c>
      <c r="J374" s="3" t="s">
        <v>36</v>
      </c>
      <c r="K374" s="3" t="s">
        <v>36</v>
      </c>
      <c r="L374" s="3" t="s">
        <v>36</v>
      </c>
      <c r="M374" s="3" t="s">
        <v>36</v>
      </c>
      <c r="N374" s="3" t="s">
        <v>36</v>
      </c>
      <c r="O374" s="2">
        <v>32.79</v>
      </c>
    </row>
    <row r="375" spans="1:15" x14ac:dyDescent="0.25">
      <c r="A375" s="47">
        <v>44204</v>
      </c>
      <c r="B375" s="2">
        <v>1.28</v>
      </c>
      <c r="C375" s="2">
        <v>752.38</v>
      </c>
      <c r="D375" s="2">
        <v>915.9</v>
      </c>
      <c r="E375" s="2">
        <v>540.66999999999996</v>
      </c>
      <c r="F375" s="2">
        <v>0.92</v>
      </c>
      <c r="G375" s="2">
        <v>13.82</v>
      </c>
      <c r="H375" s="3" t="s">
        <v>36</v>
      </c>
      <c r="I375" s="3" t="s">
        <v>36</v>
      </c>
      <c r="J375" s="3" t="s">
        <v>36</v>
      </c>
      <c r="K375" s="3" t="s">
        <v>36</v>
      </c>
      <c r="L375" s="3" t="s">
        <v>36</v>
      </c>
      <c r="M375" s="3" t="s">
        <v>36</v>
      </c>
      <c r="N375" s="3" t="s">
        <v>36</v>
      </c>
      <c r="O375" s="2">
        <v>0.37</v>
      </c>
    </row>
    <row r="376" spans="1:15" x14ac:dyDescent="0.25">
      <c r="A376" s="47">
        <v>44205</v>
      </c>
      <c r="B376" s="2">
        <v>1.94</v>
      </c>
      <c r="C376" s="2">
        <v>763.56</v>
      </c>
      <c r="D376" s="2">
        <v>859.49</v>
      </c>
      <c r="E376" s="2">
        <v>533.19000000000005</v>
      </c>
      <c r="F376" s="2">
        <v>0.98</v>
      </c>
      <c r="G376" s="2">
        <v>13.86</v>
      </c>
      <c r="H376" s="3" t="s">
        <v>36</v>
      </c>
      <c r="I376" s="3" t="s">
        <v>36</v>
      </c>
      <c r="J376" s="3" t="s">
        <v>36</v>
      </c>
      <c r="K376" s="3" t="s">
        <v>36</v>
      </c>
      <c r="L376" s="3" t="s">
        <v>36</v>
      </c>
      <c r="M376" s="3" t="s">
        <v>36</v>
      </c>
      <c r="N376" s="3" t="s">
        <v>36</v>
      </c>
      <c r="O376" s="2">
        <v>1.31</v>
      </c>
    </row>
    <row r="377" spans="1:15" x14ac:dyDescent="0.25">
      <c r="A377" s="47">
        <v>44206</v>
      </c>
      <c r="B377" s="2">
        <v>0.56999999999999995</v>
      </c>
      <c r="C377" s="2">
        <v>749.35</v>
      </c>
      <c r="D377" s="2">
        <v>809.25</v>
      </c>
      <c r="E377" s="2">
        <v>521.47</v>
      </c>
      <c r="F377" s="2">
        <v>0.99</v>
      </c>
      <c r="G377" s="2">
        <v>13.98</v>
      </c>
      <c r="H377" s="3" t="s">
        <v>36</v>
      </c>
      <c r="I377" s="3" t="s">
        <v>36</v>
      </c>
      <c r="J377" s="3" t="s">
        <v>36</v>
      </c>
      <c r="K377" s="3" t="s">
        <v>36</v>
      </c>
      <c r="L377" s="3" t="s">
        <v>36</v>
      </c>
      <c r="M377" s="3" t="s">
        <v>36</v>
      </c>
      <c r="N377" s="3" t="s">
        <v>36</v>
      </c>
      <c r="O377" s="2">
        <v>0.12</v>
      </c>
    </row>
    <row r="378" spans="1:15" x14ac:dyDescent="0.25">
      <c r="A378" s="47">
        <v>44207</v>
      </c>
      <c r="B378" s="3" t="s">
        <v>70</v>
      </c>
      <c r="C378" s="3" t="s">
        <v>70</v>
      </c>
      <c r="D378" s="3" t="s">
        <v>70</v>
      </c>
      <c r="E378" s="3" t="s">
        <v>70</v>
      </c>
      <c r="F378" s="3" t="s">
        <v>70</v>
      </c>
      <c r="G378" s="2">
        <v>14.85</v>
      </c>
      <c r="H378" s="3" t="s">
        <v>36</v>
      </c>
      <c r="I378" s="3" t="s">
        <v>36</v>
      </c>
      <c r="J378" s="3" t="s">
        <v>36</v>
      </c>
      <c r="K378" s="3" t="s">
        <v>36</v>
      </c>
      <c r="L378" s="3" t="s">
        <v>36</v>
      </c>
      <c r="M378" s="3" t="s">
        <v>36</v>
      </c>
      <c r="N378" s="3" t="s">
        <v>36</v>
      </c>
      <c r="O378" s="53">
        <v>62.62</v>
      </c>
    </row>
    <row r="379" spans="1:15" x14ac:dyDescent="0.25">
      <c r="A379" s="47">
        <v>44208</v>
      </c>
      <c r="B379" s="2">
        <v>3.45</v>
      </c>
      <c r="C379" s="2">
        <v>598.87</v>
      </c>
      <c r="D379" s="3" t="s">
        <v>70</v>
      </c>
      <c r="E379" s="2">
        <v>387.19</v>
      </c>
      <c r="F379" s="2">
        <v>0.67</v>
      </c>
      <c r="G379" s="2">
        <v>12.81</v>
      </c>
      <c r="H379" s="3" t="s">
        <v>36</v>
      </c>
      <c r="I379" s="3" t="s">
        <v>36</v>
      </c>
      <c r="J379" s="3" t="s">
        <v>36</v>
      </c>
      <c r="K379" s="3" t="s">
        <v>36</v>
      </c>
      <c r="L379" s="3" t="s">
        <v>36</v>
      </c>
      <c r="M379" s="3" t="s">
        <v>36</v>
      </c>
      <c r="N379" s="3" t="s">
        <v>36</v>
      </c>
      <c r="O379" s="53">
        <v>59.55</v>
      </c>
    </row>
    <row r="380" spans="1:15" x14ac:dyDescent="0.25">
      <c r="A380" s="47">
        <v>44209</v>
      </c>
      <c r="B380" s="2">
        <v>1.85</v>
      </c>
      <c r="C380" s="2">
        <v>695.79</v>
      </c>
      <c r="D380" s="2">
        <v>790.06</v>
      </c>
      <c r="E380" s="2">
        <v>427.94</v>
      </c>
      <c r="F380" s="4">
        <v>0</v>
      </c>
      <c r="G380" s="2">
        <v>13.72</v>
      </c>
      <c r="H380" s="3" t="s">
        <v>36</v>
      </c>
      <c r="I380" s="3" t="s">
        <v>36</v>
      </c>
      <c r="J380" s="3" t="s">
        <v>36</v>
      </c>
      <c r="K380" s="3" t="s">
        <v>36</v>
      </c>
      <c r="L380" s="3" t="s">
        <v>36</v>
      </c>
      <c r="M380" s="3" t="s">
        <v>36</v>
      </c>
      <c r="N380" s="3" t="s">
        <v>36</v>
      </c>
      <c r="O380" s="53">
        <v>53.15</v>
      </c>
    </row>
    <row r="381" spans="1:15" x14ac:dyDescent="0.25">
      <c r="A381" s="47">
        <v>44210</v>
      </c>
      <c r="B381" s="2">
        <v>0.66</v>
      </c>
      <c r="C381" s="2">
        <v>733.07</v>
      </c>
      <c r="D381" s="2">
        <v>760.35</v>
      </c>
      <c r="E381" s="2">
        <v>382.49</v>
      </c>
      <c r="F381" s="4">
        <v>0</v>
      </c>
      <c r="G381" s="2">
        <v>11.77</v>
      </c>
      <c r="H381" s="3" t="s">
        <v>36</v>
      </c>
      <c r="I381" s="3" t="s">
        <v>36</v>
      </c>
      <c r="J381" s="3" t="s">
        <v>36</v>
      </c>
      <c r="K381" s="3" t="s">
        <v>36</v>
      </c>
      <c r="L381" s="3" t="s">
        <v>36</v>
      </c>
      <c r="M381" s="3" t="s">
        <v>36</v>
      </c>
      <c r="N381" s="3" t="s">
        <v>36</v>
      </c>
      <c r="O381" s="2">
        <v>36.71</v>
      </c>
    </row>
    <row r="382" spans="1:15" x14ac:dyDescent="0.25">
      <c r="A382" s="47">
        <v>44211</v>
      </c>
      <c r="B382" s="2">
        <v>0.81</v>
      </c>
      <c r="C382" s="2">
        <v>750.07</v>
      </c>
      <c r="D382" s="2">
        <v>863.95</v>
      </c>
      <c r="E382" s="2">
        <v>365.87</v>
      </c>
      <c r="F382" s="4">
        <v>0</v>
      </c>
      <c r="G382" s="2">
        <v>11.88</v>
      </c>
      <c r="H382" s="3" t="s">
        <v>36</v>
      </c>
      <c r="I382" s="3" t="s">
        <v>36</v>
      </c>
      <c r="J382" s="3" t="s">
        <v>36</v>
      </c>
      <c r="K382" s="3" t="s">
        <v>36</v>
      </c>
      <c r="L382" s="3" t="s">
        <v>36</v>
      </c>
      <c r="M382" s="3" t="s">
        <v>36</v>
      </c>
      <c r="N382" s="3" t="s">
        <v>36</v>
      </c>
      <c r="O382" s="2">
        <v>0.1</v>
      </c>
    </row>
    <row r="383" spans="1:15" x14ac:dyDescent="0.25">
      <c r="A383" s="47">
        <v>44212</v>
      </c>
      <c r="B383" s="2">
        <v>0.87</v>
      </c>
      <c r="C383" s="2">
        <v>684.15</v>
      </c>
      <c r="D383" s="2">
        <v>784.66</v>
      </c>
      <c r="E383" s="2">
        <v>354.62</v>
      </c>
      <c r="F383" s="4">
        <v>0</v>
      </c>
      <c r="G383" s="2">
        <v>11.9</v>
      </c>
      <c r="H383" s="3" t="s">
        <v>36</v>
      </c>
      <c r="I383" s="3" t="s">
        <v>36</v>
      </c>
      <c r="J383" s="3" t="s">
        <v>36</v>
      </c>
      <c r="K383" s="3" t="s">
        <v>36</v>
      </c>
      <c r="L383" s="3" t="s">
        <v>36</v>
      </c>
      <c r="M383" s="3" t="s">
        <v>36</v>
      </c>
      <c r="N383" s="3" t="s">
        <v>36</v>
      </c>
      <c r="O383" s="2">
        <v>0.1</v>
      </c>
    </row>
    <row r="384" spans="1:15" x14ac:dyDescent="0.25">
      <c r="A384" s="47">
        <v>44213</v>
      </c>
      <c r="B384" s="2">
        <v>0.66</v>
      </c>
      <c r="C384" s="2">
        <v>637.08000000000004</v>
      </c>
      <c r="D384" s="2">
        <v>943.25</v>
      </c>
      <c r="E384" s="2">
        <v>339.64</v>
      </c>
      <c r="F384" s="4">
        <v>0</v>
      </c>
      <c r="G384" s="2">
        <v>12.28</v>
      </c>
      <c r="H384" s="3" t="s">
        <v>36</v>
      </c>
      <c r="I384" s="3" t="s">
        <v>36</v>
      </c>
      <c r="J384" s="3" t="s">
        <v>36</v>
      </c>
      <c r="K384" s="3" t="s">
        <v>36</v>
      </c>
      <c r="L384" s="3" t="s">
        <v>36</v>
      </c>
      <c r="M384" s="3" t="s">
        <v>36</v>
      </c>
      <c r="N384" s="3" t="s">
        <v>36</v>
      </c>
      <c r="O384" s="2">
        <v>0.1</v>
      </c>
    </row>
    <row r="385" spans="1:15" x14ac:dyDescent="0.25">
      <c r="A385" s="47">
        <v>44214</v>
      </c>
      <c r="B385" s="2">
        <v>0.51</v>
      </c>
      <c r="C385" s="2">
        <v>618.89</v>
      </c>
      <c r="D385" s="2">
        <v>725.45</v>
      </c>
      <c r="E385" s="2">
        <v>374.73</v>
      </c>
      <c r="F385" s="2">
        <v>0.24</v>
      </c>
      <c r="G385" s="2">
        <v>12.37</v>
      </c>
      <c r="H385" s="3" t="s">
        <v>36</v>
      </c>
      <c r="I385" s="3" t="s">
        <v>36</v>
      </c>
      <c r="J385" s="3" t="s">
        <v>36</v>
      </c>
      <c r="K385" s="3" t="s">
        <v>36</v>
      </c>
      <c r="L385" s="3" t="s">
        <v>36</v>
      </c>
      <c r="M385" s="3" t="s">
        <v>36</v>
      </c>
      <c r="N385" s="3" t="s">
        <v>36</v>
      </c>
      <c r="O385" s="2">
        <v>0.1</v>
      </c>
    </row>
    <row r="386" spans="1:15" x14ac:dyDescent="0.25">
      <c r="A386" s="47">
        <v>44215</v>
      </c>
      <c r="B386" s="2">
        <v>0.9</v>
      </c>
      <c r="C386" s="2">
        <v>644.58000000000004</v>
      </c>
      <c r="D386" s="2">
        <v>552.67999999999995</v>
      </c>
      <c r="E386" s="2">
        <v>433.43</v>
      </c>
      <c r="F386" s="2">
        <v>0.59</v>
      </c>
      <c r="G386" s="2">
        <v>12.09</v>
      </c>
      <c r="H386" s="3" t="s">
        <v>36</v>
      </c>
      <c r="I386" s="3" t="s">
        <v>36</v>
      </c>
      <c r="J386" s="3" t="s">
        <v>36</v>
      </c>
      <c r="K386" s="3" t="s">
        <v>36</v>
      </c>
      <c r="L386" s="3" t="s">
        <v>36</v>
      </c>
      <c r="M386" s="3" t="s">
        <v>36</v>
      </c>
      <c r="N386" s="3" t="s">
        <v>36</v>
      </c>
      <c r="O386" s="2">
        <v>0.24</v>
      </c>
    </row>
    <row r="387" spans="1:15" x14ac:dyDescent="0.25">
      <c r="A387" s="47">
        <v>44216</v>
      </c>
      <c r="B387" s="2">
        <v>1.1499999999999999</v>
      </c>
      <c r="C387" s="2">
        <v>758.17</v>
      </c>
      <c r="D387" s="2">
        <v>960.13</v>
      </c>
      <c r="E387" s="2">
        <v>516.54</v>
      </c>
      <c r="F387" s="2">
        <v>0.43</v>
      </c>
      <c r="G387" s="2">
        <v>12.87</v>
      </c>
      <c r="H387" s="3" t="s">
        <v>36</v>
      </c>
      <c r="I387" s="3" t="s">
        <v>36</v>
      </c>
      <c r="J387" s="3" t="s">
        <v>36</v>
      </c>
      <c r="K387" s="3" t="s">
        <v>36</v>
      </c>
      <c r="L387" s="3" t="s">
        <v>36</v>
      </c>
      <c r="M387" s="3" t="s">
        <v>36</v>
      </c>
      <c r="N387" s="3" t="s">
        <v>36</v>
      </c>
      <c r="O387" s="2">
        <v>0.1</v>
      </c>
    </row>
    <row r="388" spans="1:15" x14ac:dyDescent="0.25">
      <c r="A388" s="47">
        <v>44217</v>
      </c>
      <c r="B388" s="2">
        <v>1.03</v>
      </c>
      <c r="C388" s="2">
        <v>772</v>
      </c>
      <c r="D388" s="2">
        <v>866.54</v>
      </c>
      <c r="E388" s="2">
        <v>449.64</v>
      </c>
      <c r="F388" s="2">
        <v>0.66</v>
      </c>
      <c r="G388" s="2">
        <v>12.87</v>
      </c>
      <c r="H388" s="3" t="s">
        <v>36</v>
      </c>
      <c r="I388" s="3" t="s">
        <v>36</v>
      </c>
      <c r="J388" s="3" t="s">
        <v>36</v>
      </c>
      <c r="K388" s="3" t="s">
        <v>36</v>
      </c>
      <c r="L388" s="3" t="s">
        <v>36</v>
      </c>
      <c r="M388" s="3" t="s">
        <v>36</v>
      </c>
      <c r="N388" s="3" t="s">
        <v>36</v>
      </c>
      <c r="O388" s="2">
        <v>0.1</v>
      </c>
    </row>
    <row r="389" spans="1:15" x14ac:dyDescent="0.25">
      <c r="A389" s="47">
        <v>44218</v>
      </c>
      <c r="B389" s="2">
        <v>0.9</v>
      </c>
      <c r="C389" s="2">
        <v>746.13</v>
      </c>
      <c r="D389" s="2">
        <v>701.05</v>
      </c>
      <c r="E389" s="2">
        <v>456.31</v>
      </c>
      <c r="F389" s="2">
        <v>0.72</v>
      </c>
      <c r="G389" s="2">
        <v>13.45</v>
      </c>
      <c r="H389" s="3" t="s">
        <v>70</v>
      </c>
      <c r="I389" s="3" t="s">
        <v>70</v>
      </c>
      <c r="J389" s="3" t="s">
        <v>70</v>
      </c>
      <c r="K389" s="3" t="s">
        <v>70</v>
      </c>
      <c r="L389" s="3" t="s">
        <v>70</v>
      </c>
      <c r="M389" s="2">
        <v>15.1</v>
      </c>
      <c r="N389" s="3" t="s">
        <v>36</v>
      </c>
      <c r="O389" s="2">
        <v>0.08</v>
      </c>
    </row>
    <row r="390" spans="1:15" x14ac:dyDescent="0.25">
      <c r="A390" s="47">
        <v>44219</v>
      </c>
      <c r="B390" s="2">
        <v>1.76</v>
      </c>
      <c r="C390" s="2">
        <v>762.13</v>
      </c>
      <c r="D390" s="2">
        <v>890.18</v>
      </c>
      <c r="E390" s="2">
        <v>491.39</v>
      </c>
      <c r="F390" s="2">
        <v>0.63</v>
      </c>
      <c r="G390" s="2">
        <v>13.42</v>
      </c>
      <c r="H390" s="2">
        <v>19.8</v>
      </c>
      <c r="I390" s="2">
        <v>561.59</v>
      </c>
      <c r="J390" s="2">
        <v>819.16</v>
      </c>
      <c r="K390" s="2">
        <v>567.27</v>
      </c>
      <c r="L390" s="2">
        <v>0.87</v>
      </c>
      <c r="M390" s="2">
        <v>14.86</v>
      </c>
      <c r="N390" s="3" t="s">
        <v>36</v>
      </c>
      <c r="O390" s="2">
        <v>21.89</v>
      </c>
    </row>
    <row r="391" spans="1:15" x14ac:dyDescent="0.25">
      <c r="A391" s="47">
        <v>44220</v>
      </c>
      <c r="B391" s="2">
        <v>1.72</v>
      </c>
      <c r="C391" s="2">
        <v>751.18</v>
      </c>
      <c r="D391" s="2">
        <v>822.08</v>
      </c>
      <c r="E391" s="2">
        <v>460.29</v>
      </c>
      <c r="F391" s="2">
        <v>0.63</v>
      </c>
      <c r="G391" s="2">
        <v>13.49</v>
      </c>
      <c r="H391" s="2">
        <v>20.059999999999999</v>
      </c>
      <c r="I391" s="2">
        <v>568.30999999999995</v>
      </c>
      <c r="J391" s="2">
        <v>760.49</v>
      </c>
      <c r="K391" s="2">
        <v>517.46</v>
      </c>
      <c r="L391" s="2">
        <v>0.7</v>
      </c>
      <c r="M391" s="2">
        <v>14.52</v>
      </c>
      <c r="N391" s="3" t="s">
        <v>36</v>
      </c>
      <c r="O391" s="2">
        <v>0.97</v>
      </c>
    </row>
    <row r="392" spans="1:15" x14ac:dyDescent="0.25">
      <c r="A392" s="47">
        <v>44221</v>
      </c>
      <c r="B392" s="2">
        <v>1.67</v>
      </c>
      <c r="C392" s="2">
        <v>757.6</v>
      </c>
      <c r="D392" s="2">
        <v>939.04</v>
      </c>
      <c r="E392" s="2">
        <v>456.53</v>
      </c>
      <c r="F392" s="2">
        <v>0.61</v>
      </c>
      <c r="G392" s="2">
        <v>13.31</v>
      </c>
      <c r="H392" s="2">
        <v>20.81</v>
      </c>
      <c r="I392" s="2">
        <v>573.76</v>
      </c>
      <c r="J392" s="2">
        <v>783.09</v>
      </c>
      <c r="K392" s="2">
        <v>524.4</v>
      </c>
      <c r="L392" s="2">
        <v>0.71</v>
      </c>
      <c r="M392" s="2">
        <v>14.34</v>
      </c>
      <c r="N392" s="3" t="s">
        <v>36</v>
      </c>
      <c r="O392" s="2">
        <v>0.24</v>
      </c>
    </row>
    <row r="393" spans="1:15" x14ac:dyDescent="0.25">
      <c r="A393" s="47">
        <v>44222</v>
      </c>
      <c r="B393" s="2">
        <v>2.56</v>
      </c>
      <c r="C393" s="2">
        <v>719.26</v>
      </c>
      <c r="D393" s="2">
        <v>972.45</v>
      </c>
      <c r="E393" s="2">
        <v>480.73</v>
      </c>
      <c r="F393" s="2">
        <v>0.63</v>
      </c>
      <c r="G393" s="2">
        <v>13.21</v>
      </c>
      <c r="H393" s="2">
        <v>16.079999999999998</v>
      </c>
      <c r="I393" s="2">
        <v>510.55</v>
      </c>
      <c r="J393" s="2">
        <v>745.71</v>
      </c>
      <c r="K393" s="2">
        <v>491.05</v>
      </c>
      <c r="L393" s="2">
        <v>0.76</v>
      </c>
      <c r="M393" s="2">
        <v>14.61</v>
      </c>
      <c r="N393" s="3" t="s">
        <v>36</v>
      </c>
      <c r="O393" s="2">
        <v>0.33</v>
      </c>
    </row>
    <row r="394" spans="1:15" x14ac:dyDescent="0.25">
      <c r="A394" s="47">
        <v>44223</v>
      </c>
      <c r="B394" s="2">
        <v>1.97</v>
      </c>
      <c r="C394" s="2">
        <v>625.71</v>
      </c>
      <c r="D394" s="2">
        <v>991.88</v>
      </c>
      <c r="E394" s="2">
        <v>491.27</v>
      </c>
      <c r="F394" s="2">
        <v>0.61</v>
      </c>
      <c r="G394" s="2">
        <v>12.94</v>
      </c>
      <c r="H394" s="2">
        <v>20.37</v>
      </c>
      <c r="I394" s="2">
        <v>541.32000000000005</v>
      </c>
      <c r="J394" s="2">
        <v>877.88</v>
      </c>
      <c r="K394" s="2">
        <v>505.89</v>
      </c>
      <c r="L394" s="2">
        <v>0.77</v>
      </c>
      <c r="M394" s="2">
        <v>14.5</v>
      </c>
      <c r="N394" s="3" t="s">
        <v>36</v>
      </c>
      <c r="O394" s="2">
        <v>0.46</v>
      </c>
    </row>
    <row r="395" spans="1:15" x14ac:dyDescent="0.25">
      <c r="A395" s="47">
        <v>44224</v>
      </c>
      <c r="B395" s="2">
        <v>1.75</v>
      </c>
      <c r="C395" s="2">
        <v>695.24</v>
      </c>
      <c r="D395" s="2">
        <v>899.97</v>
      </c>
      <c r="E395" s="2">
        <v>445.32</v>
      </c>
      <c r="F395" s="2">
        <v>0.64</v>
      </c>
      <c r="G395" s="2">
        <v>13.39</v>
      </c>
      <c r="H395" s="2">
        <v>18.88</v>
      </c>
      <c r="I395" s="2">
        <v>572.02</v>
      </c>
      <c r="J395" s="2">
        <v>817.03</v>
      </c>
      <c r="K395" s="2">
        <v>496.2</v>
      </c>
      <c r="L395" s="2">
        <v>0.73</v>
      </c>
      <c r="M395" s="2">
        <v>14.63</v>
      </c>
      <c r="N395" s="3" t="s">
        <v>36</v>
      </c>
      <c r="O395" s="2">
        <v>0.48</v>
      </c>
    </row>
    <row r="396" spans="1:15" x14ac:dyDescent="0.25">
      <c r="A396" s="47">
        <v>44225</v>
      </c>
      <c r="B396" s="2">
        <v>1.33</v>
      </c>
      <c r="C396" s="2">
        <v>704.4</v>
      </c>
      <c r="D396" s="2">
        <v>979.23</v>
      </c>
      <c r="E396" s="2">
        <v>473.68</v>
      </c>
      <c r="F396" s="2">
        <v>0.59</v>
      </c>
      <c r="G396" s="2">
        <v>12.69</v>
      </c>
      <c r="H396" s="2">
        <v>19.95</v>
      </c>
      <c r="I396" s="2">
        <v>563.55999999999995</v>
      </c>
      <c r="J396" s="2">
        <v>776.5</v>
      </c>
      <c r="K396" s="2">
        <v>493.49</v>
      </c>
      <c r="L396" s="2">
        <v>0.72</v>
      </c>
      <c r="M396" s="2">
        <v>14.72</v>
      </c>
      <c r="N396" s="3" t="s">
        <v>36</v>
      </c>
      <c r="O396" s="2">
        <v>0.34</v>
      </c>
    </row>
    <row r="397" spans="1:15" x14ac:dyDescent="0.25">
      <c r="A397" s="47">
        <v>44226</v>
      </c>
      <c r="B397" s="2">
        <v>1.73</v>
      </c>
      <c r="C397" s="2">
        <v>700.64</v>
      </c>
      <c r="D397" s="2">
        <v>1060</v>
      </c>
      <c r="E397" s="2">
        <v>528.95000000000005</v>
      </c>
      <c r="F397" s="2">
        <v>0.51</v>
      </c>
      <c r="G397" s="2">
        <v>12.61</v>
      </c>
      <c r="H397" s="2">
        <v>26.62</v>
      </c>
      <c r="I397" s="2">
        <v>575.23</v>
      </c>
      <c r="J397" s="2">
        <v>871.37</v>
      </c>
      <c r="K397" s="2">
        <v>593.51</v>
      </c>
      <c r="L397" s="2">
        <v>0.77</v>
      </c>
      <c r="M397" s="2">
        <v>14.82</v>
      </c>
      <c r="N397" s="3" t="s">
        <v>36</v>
      </c>
      <c r="O397" s="2">
        <v>1.49</v>
      </c>
    </row>
    <row r="398" spans="1:15" x14ac:dyDescent="0.25">
      <c r="A398" s="47">
        <v>44227</v>
      </c>
      <c r="B398" s="2">
        <v>1.42</v>
      </c>
      <c r="C398" s="2">
        <v>749.53</v>
      </c>
      <c r="D398" s="2">
        <v>1006.95</v>
      </c>
      <c r="E398" s="2">
        <v>558.1</v>
      </c>
      <c r="F398" s="2">
        <v>0.6</v>
      </c>
      <c r="G398" s="2">
        <v>13.27</v>
      </c>
      <c r="H398" s="2">
        <v>23.82</v>
      </c>
      <c r="I398" s="2">
        <v>540.9</v>
      </c>
      <c r="J398" s="2">
        <v>887.09</v>
      </c>
      <c r="K398" s="2">
        <v>540.22</v>
      </c>
      <c r="L398" s="2">
        <v>0.73</v>
      </c>
      <c r="M398" s="2">
        <v>14.44</v>
      </c>
      <c r="N398" s="3" t="s">
        <v>36</v>
      </c>
      <c r="O398" s="2">
        <v>1.99</v>
      </c>
    </row>
    <row r="399" spans="1:15" x14ac:dyDescent="0.25">
      <c r="A399" s="47">
        <v>44228</v>
      </c>
      <c r="B399" s="2">
        <v>1.82</v>
      </c>
      <c r="C399" s="2">
        <v>759.55</v>
      </c>
      <c r="D399" s="2">
        <v>1011.22</v>
      </c>
      <c r="E399" s="2">
        <v>519.67999999999995</v>
      </c>
      <c r="F399" s="2">
        <v>0.65</v>
      </c>
      <c r="G399" s="2">
        <v>13.11</v>
      </c>
      <c r="H399" s="2">
        <v>19.579999999999998</v>
      </c>
      <c r="I399" s="2">
        <v>619.16</v>
      </c>
      <c r="J399" s="2">
        <v>877.87</v>
      </c>
      <c r="K399" s="2">
        <v>582.27</v>
      </c>
      <c r="L399" s="2">
        <v>0.55000000000000004</v>
      </c>
      <c r="M399" s="2">
        <v>14.88</v>
      </c>
      <c r="N399" s="3" t="s">
        <v>36</v>
      </c>
      <c r="O399" s="2">
        <v>0.61</v>
      </c>
    </row>
    <row r="400" spans="1:15" x14ac:dyDescent="0.25">
      <c r="A400" s="47">
        <v>44229</v>
      </c>
      <c r="B400" s="2">
        <v>1.9</v>
      </c>
      <c r="C400" s="2">
        <v>758.2</v>
      </c>
      <c r="D400" s="2">
        <v>1036.22</v>
      </c>
      <c r="E400" s="2">
        <v>570.95000000000005</v>
      </c>
      <c r="F400" s="2">
        <v>0.56000000000000005</v>
      </c>
      <c r="G400" s="2">
        <v>13.06</v>
      </c>
      <c r="H400" s="2">
        <v>26.48</v>
      </c>
      <c r="I400" s="2">
        <v>593.17999999999995</v>
      </c>
      <c r="J400" s="2">
        <v>957.99</v>
      </c>
      <c r="K400" s="2">
        <v>546.75</v>
      </c>
      <c r="L400" s="2">
        <v>0.64</v>
      </c>
      <c r="M400" s="2">
        <v>14.48</v>
      </c>
      <c r="N400" s="3" t="s">
        <v>36</v>
      </c>
      <c r="O400" s="2">
        <v>1.5</v>
      </c>
    </row>
    <row r="401" spans="1:15" x14ac:dyDescent="0.25">
      <c r="A401" s="47">
        <v>44230</v>
      </c>
      <c r="B401" s="2">
        <v>1.73</v>
      </c>
      <c r="C401" s="2">
        <v>729.84</v>
      </c>
      <c r="D401" s="2">
        <v>1034.75</v>
      </c>
      <c r="E401" s="2">
        <v>607.73</v>
      </c>
      <c r="F401" s="2">
        <v>0.63</v>
      </c>
      <c r="G401" s="2">
        <v>13.75</v>
      </c>
      <c r="H401" s="2">
        <v>23.09</v>
      </c>
      <c r="I401" s="2">
        <v>564.04</v>
      </c>
      <c r="J401" s="2">
        <v>848.83</v>
      </c>
      <c r="K401" s="2">
        <v>534.41</v>
      </c>
      <c r="L401" s="2">
        <v>0.8</v>
      </c>
      <c r="M401" s="2">
        <v>14.47</v>
      </c>
      <c r="N401" s="3" t="s">
        <v>36</v>
      </c>
      <c r="O401" s="2">
        <v>1.1100000000000001</v>
      </c>
    </row>
    <row r="402" spans="1:15" x14ac:dyDescent="0.25">
      <c r="A402" s="47">
        <v>44231</v>
      </c>
      <c r="B402" s="2">
        <v>2.57</v>
      </c>
      <c r="C402" s="2">
        <v>765.48</v>
      </c>
      <c r="D402" s="2">
        <v>1096.03</v>
      </c>
      <c r="E402" s="2">
        <v>673.66</v>
      </c>
      <c r="F402" s="2">
        <v>0.72</v>
      </c>
      <c r="G402" s="2">
        <v>13.98</v>
      </c>
      <c r="H402" s="2">
        <v>24.26</v>
      </c>
      <c r="I402" s="2">
        <v>523.45000000000005</v>
      </c>
      <c r="J402" s="2">
        <v>581.99</v>
      </c>
      <c r="K402" s="2">
        <v>438.63</v>
      </c>
      <c r="L402" s="2">
        <v>1.2</v>
      </c>
      <c r="M402" s="2">
        <v>15.62</v>
      </c>
      <c r="N402" s="3" t="s">
        <v>36</v>
      </c>
      <c r="O402" s="2">
        <v>20.170000000000002</v>
      </c>
    </row>
    <row r="403" spans="1:15" x14ac:dyDescent="0.25">
      <c r="A403" s="47">
        <v>44232</v>
      </c>
      <c r="B403" s="2">
        <v>1.55</v>
      </c>
      <c r="C403" s="2">
        <v>754.11</v>
      </c>
      <c r="D403" s="2">
        <v>1024.1600000000001</v>
      </c>
      <c r="E403" s="2">
        <v>600.29</v>
      </c>
      <c r="F403" s="2">
        <v>0.63</v>
      </c>
      <c r="G403" s="2">
        <v>12.91</v>
      </c>
      <c r="H403" s="2">
        <v>20.89</v>
      </c>
      <c r="I403" s="2">
        <v>548.91</v>
      </c>
      <c r="J403" s="2">
        <v>920.47</v>
      </c>
      <c r="K403" s="2">
        <v>642.80999999999995</v>
      </c>
      <c r="L403" s="2">
        <v>0.77</v>
      </c>
      <c r="M403" s="2">
        <v>14.7</v>
      </c>
      <c r="N403" s="3" t="s">
        <v>36</v>
      </c>
      <c r="O403" s="2">
        <v>35.74</v>
      </c>
    </row>
    <row r="404" spans="1:15" x14ac:dyDescent="0.25">
      <c r="A404" s="47">
        <v>44233</v>
      </c>
      <c r="B404" s="2">
        <v>1.83</v>
      </c>
      <c r="C404" s="2">
        <v>748.51</v>
      </c>
      <c r="D404" s="2">
        <v>915.92</v>
      </c>
      <c r="E404" s="2">
        <v>560.20000000000005</v>
      </c>
      <c r="F404" s="2">
        <v>0.64</v>
      </c>
      <c r="G404" s="2">
        <v>13.14</v>
      </c>
      <c r="H404" s="2">
        <v>16.29</v>
      </c>
      <c r="I404" s="2">
        <v>587.34</v>
      </c>
      <c r="J404" s="2">
        <v>770.16</v>
      </c>
      <c r="K404" s="2">
        <v>648.30999999999995</v>
      </c>
      <c r="L404" s="2">
        <v>0.75</v>
      </c>
      <c r="M404" s="2">
        <v>14.85</v>
      </c>
      <c r="N404" s="3" t="s">
        <v>36</v>
      </c>
      <c r="O404" s="2">
        <v>47.95</v>
      </c>
    </row>
    <row r="405" spans="1:15" x14ac:dyDescent="0.25">
      <c r="A405" s="47">
        <v>44234</v>
      </c>
      <c r="B405" s="2">
        <v>2.1</v>
      </c>
      <c r="C405" s="2">
        <v>755.18</v>
      </c>
      <c r="D405" s="2">
        <v>866.58</v>
      </c>
      <c r="E405" s="2">
        <v>508.09</v>
      </c>
      <c r="F405" s="2">
        <v>0.68</v>
      </c>
      <c r="G405" s="2">
        <v>13.13</v>
      </c>
      <c r="H405" s="2">
        <v>17.239999999999998</v>
      </c>
      <c r="I405" s="2">
        <v>715.51</v>
      </c>
      <c r="J405" s="2">
        <v>712.41</v>
      </c>
      <c r="K405" s="2">
        <v>615.67999999999995</v>
      </c>
      <c r="L405" s="2">
        <v>0.69</v>
      </c>
      <c r="M405" s="2">
        <v>14.8</v>
      </c>
      <c r="N405" s="3" t="s">
        <v>36</v>
      </c>
      <c r="O405" s="53">
        <v>51.12</v>
      </c>
    </row>
    <row r="406" spans="1:15" x14ac:dyDescent="0.25">
      <c r="A406" s="47">
        <v>44235</v>
      </c>
      <c r="B406" s="2">
        <v>1.83</v>
      </c>
      <c r="C406" s="2">
        <v>756.65</v>
      </c>
      <c r="D406" s="2">
        <v>863.48</v>
      </c>
      <c r="E406" s="2">
        <v>490.94</v>
      </c>
      <c r="F406" s="2">
        <v>0.69</v>
      </c>
      <c r="G406" s="2">
        <v>13.05</v>
      </c>
      <c r="H406" s="2">
        <v>17.27</v>
      </c>
      <c r="I406" s="2">
        <v>624.89</v>
      </c>
      <c r="J406" s="2">
        <v>769.65</v>
      </c>
      <c r="K406" s="2">
        <v>596.51</v>
      </c>
      <c r="L406" s="2">
        <v>0.72</v>
      </c>
      <c r="M406" s="2">
        <v>14.64</v>
      </c>
      <c r="N406" s="3" t="s">
        <v>36</v>
      </c>
      <c r="O406" s="2">
        <v>48.94</v>
      </c>
    </row>
    <row r="407" spans="1:15" x14ac:dyDescent="0.25">
      <c r="A407" s="47">
        <v>44236</v>
      </c>
      <c r="B407" s="2">
        <v>2.31</v>
      </c>
      <c r="C407" s="2">
        <v>754.48</v>
      </c>
      <c r="D407" s="2">
        <v>909.77</v>
      </c>
      <c r="E407" s="2">
        <v>424.64</v>
      </c>
      <c r="F407" s="2">
        <v>0.7</v>
      </c>
      <c r="G407" s="2">
        <v>13.2</v>
      </c>
      <c r="H407" s="2">
        <v>17.309999999999999</v>
      </c>
      <c r="I407" s="2">
        <v>668.74</v>
      </c>
      <c r="J407" s="2">
        <v>802.14</v>
      </c>
      <c r="K407" s="2">
        <v>472.11</v>
      </c>
      <c r="L407" s="2">
        <v>0.86</v>
      </c>
      <c r="M407" s="2">
        <v>14.46</v>
      </c>
      <c r="N407" s="3" t="s">
        <v>36</v>
      </c>
      <c r="O407" s="2">
        <v>28.31</v>
      </c>
    </row>
    <row r="408" spans="1:15" x14ac:dyDescent="0.25">
      <c r="A408" s="47">
        <v>44237</v>
      </c>
      <c r="B408" s="2">
        <v>1.72</v>
      </c>
      <c r="C408" s="2">
        <v>760.05</v>
      </c>
      <c r="D408" s="2">
        <v>1036.3499999999999</v>
      </c>
      <c r="E408" s="2">
        <v>414.55</v>
      </c>
      <c r="F408" s="2">
        <v>0.64</v>
      </c>
      <c r="G408" s="2">
        <v>12.5</v>
      </c>
      <c r="H408" s="2">
        <v>17.46</v>
      </c>
      <c r="I408" s="2">
        <v>678.4</v>
      </c>
      <c r="J408" s="2">
        <v>796.51</v>
      </c>
      <c r="K408" s="2">
        <v>437.03</v>
      </c>
      <c r="L408" s="2">
        <v>0.69</v>
      </c>
      <c r="M408" s="2">
        <v>14.42</v>
      </c>
      <c r="N408" s="3" t="s">
        <v>36</v>
      </c>
      <c r="O408" s="2">
        <v>21.36</v>
      </c>
    </row>
    <row r="409" spans="1:15" x14ac:dyDescent="0.25">
      <c r="A409" s="47">
        <v>44238</v>
      </c>
      <c r="B409" s="2">
        <v>1.69</v>
      </c>
      <c r="C409" s="2">
        <v>761.56</v>
      </c>
      <c r="D409" s="2">
        <v>1066.03</v>
      </c>
      <c r="E409" s="2">
        <v>442.47</v>
      </c>
      <c r="F409" s="2">
        <v>0.61</v>
      </c>
      <c r="G409" s="2">
        <v>12.52</v>
      </c>
      <c r="H409" s="2">
        <v>18.3</v>
      </c>
      <c r="I409" s="2">
        <v>693.88</v>
      </c>
      <c r="J409" s="2">
        <v>832.41</v>
      </c>
      <c r="K409" s="2">
        <v>456</v>
      </c>
      <c r="L409" s="2">
        <v>0.6</v>
      </c>
      <c r="M409" s="2">
        <v>14.5</v>
      </c>
      <c r="N409" s="3" t="s">
        <v>36</v>
      </c>
      <c r="O409" s="2">
        <v>1.64</v>
      </c>
    </row>
    <row r="410" spans="1:15" x14ac:dyDescent="0.25">
      <c r="A410" s="47">
        <v>44239</v>
      </c>
      <c r="B410" s="2">
        <v>2</v>
      </c>
      <c r="C410" s="2">
        <v>747.55</v>
      </c>
      <c r="D410" s="2">
        <v>974.17</v>
      </c>
      <c r="E410" s="2">
        <v>485.68</v>
      </c>
      <c r="F410" s="2">
        <v>0.71</v>
      </c>
      <c r="G410" s="2">
        <v>13.08</v>
      </c>
      <c r="H410" s="2">
        <v>15.95</v>
      </c>
      <c r="I410" s="2">
        <v>755.29</v>
      </c>
      <c r="J410" s="2">
        <v>830.92</v>
      </c>
      <c r="K410" s="2">
        <v>471.2</v>
      </c>
      <c r="L410" s="2">
        <v>0.65</v>
      </c>
      <c r="M410" s="2">
        <v>14.36</v>
      </c>
      <c r="N410" s="3" t="s">
        <v>36</v>
      </c>
      <c r="O410" s="2">
        <v>0.26</v>
      </c>
    </row>
    <row r="411" spans="1:15" x14ac:dyDescent="0.25">
      <c r="A411" s="47">
        <v>44240</v>
      </c>
      <c r="B411" s="2">
        <v>1.85</v>
      </c>
      <c r="C411" s="2">
        <v>756.29</v>
      </c>
      <c r="D411" s="2">
        <v>952.95</v>
      </c>
      <c r="E411" s="2">
        <v>486.4</v>
      </c>
      <c r="F411" s="2">
        <v>0.7</v>
      </c>
      <c r="G411" s="2">
        <v>13.06</v>
      </c>
      <c r="H411" s="2">
        <v>19.63</v>
      </c>
      <c r="I411" s="2">
        <v>627.33000000000004</v>
      </c>
      <c r="J411" s="2">
        <v>782.53</v>
      </c>
      <c r="K411" s="2">
        <v>460.01</v>
      </c>
      <c r="L411" s="2">
        <v>0.56000000000000005</v>
      </c>
      <c r="M411" s="2">
        <v>14.42</v>
      </c>
      <c r="N411" s="3" t="s">
        <v>36</v>
      </c>
      <c r="O411" s="2">
        <v>47.03</v>
      </c>
    </row>
    <row r="412" spans="1:15" x14ac:dyDescent="0.25">
      <c r="A412" s="47">
        <v>44241</v>
      </c>
      <c r="B412" s="2">
        <v>1.35</v>
      </c>
      <c r="C412" s="2">
        <v>761.94</v>
      </c>
      <c r="D412" s="2">
        <v>1002.75</v>
      </c>
      <c r="E412" s="2">
        <v>472.83</v>
      </c>
      <c r="F412" s="2">
        <v>0.61</v>
      </c>
      <c r="G412" s="2">
        <v>12</v>
      </c>
      <c r="H412" s="2">
        <v>18.71</v>
      </c>
      <c r="I412" s="2">
        <v>658.38</v>
      </c>
      <c r="J412" s="2">
        <v>730.49</v>
      </c>
      <c r="K412" s="2">
        <v>520.37</v>
      </c>
      <c r="L412" s="2">
        <v>0.62</v>
      </c>
      <c r="M412" s="2">
        <v>14.06</v>
      </c>
      <c r="N412" s="3" t="s">
        <v>36</v>
      </c>
      <c r="O412" s="53">
        <v>62.53</v>
      </c>
    </row>
    <row r="413" spans="1:15" x14ac:dyDescent="0.25">
      <c r="A413" s="47">
        <v>44242</v>
      </c>
      <c r="B413" s="2">
        <v>1.76</v>
      </c>
      <c r="C413" s="2">
        <v>752.2</v>
      </c>
      <c r="D413" s="2">
        <v>965.15</v>
      </c>
      <c r="E413" s="2">
        <v>500.44</v>
      </c>
      <c r="F413" s="2">
        <v>0.69</v>
      </c>
      <c r="G413" s="2">
        <v>12.42</v>
      </c>
      <c r="H413" s="2">
        <v>20.58</v>
      </c>
      <c r="I413" s="2">
        <v>691.18</v>
      </c>
      <c r="J413" s="2">
        <v>757.6</v>
      </c>
      <c r="K413" s="2">
        <v>509.07</v>
      </c>
      <c r="L413" s="2">
        <v>0.74</v>
      </c>
      <c r="M413" s="2">
        <v>14.07</v>
      </c>
      <c r="N413" s="3" t="s">
        <v>36</v>
      </c>
      <c r="O413" s="2">
        <v>0.1</v>
      </c>
    </row>
    <row r="414" spans="1:15" x14ac:dyDescent="0.25">
      <c r="A414" s="47">
        <v>44243</v>
      </c>
      <c r="B414" s="2">
        <v>1.75</v>
      </c>
      <c r="C414" s="2">
        <v>733.13</v>
      </c>
      <c r="D414" s="2">
        <v>646.20000000000005</v>
      </c>
      <c r="E414" s="2">
        <v>415.37</v>
      </c>
      <c r="F414" s="2">
        <v>0.84</v>
      </c>
      <c r="G414" s="2">
        <v>12.44</v>
      </c>
      <c r="H414" s="2">
        <v>21.32</v>
      </c>
      <c r="I414" s="2">
        <v>628.32000000000005</v>
      </c>
      <c r="J414" s="2">
        <v>677.83</v>
      </c>
      <c r="K414" s="2">
        <v>467.41</v>
      </c>
      <c r="L414" s="2">
        <v>0.67</v>
      </c>
      <c r="M414" s="2">
        <v>14.04</v>
      </c>
      <c r="N414" s="3" t="s">
        <v>36</v>
      </c>
      <c r="O414" s="2">
        <v>25.43</v>
      </c>
    </row>
    <row r="415" spans="1:15" x14ac:dyDescent="0.25">
      <c r="A415" s="47">
        <v>44244</v>
      </c>
      <c r="B415" s="2">
        <v>1.85</v>
      </c>
      <c r="C415" s="2">
        <v>737.93</v>
      </c>
      <c r="D415" s="2">
        <v>636.12</v>
      </c>
      <c r="E415" s="2">
        <v>397.65</v>
      </c>
      <c r="F415" s="2">
        <v>0.78</v>
      </c>
      <c r="G415" s="2">
        <v>12.48</v>
      </c>
      <c r="H415" s="2">
        <v>18.98</v>
      </c>
      <c r="I415" s="2">
        <v>639.95000000000005</v>
      </c>
      <c r="J415" s="2">
        <v>542.23</v>
      </c>
      <c r="K415" s="2">
        <v>444.1</v>
      </c>
      <c r="L415" s="2">
        <v>0.77</v>
      </c>
      <c r="M415" s="2">
        <v>14.57</v>
      </c>
      <c r="N415" s="3" t="s">
        <v>36</v>
      </c>
      <c r="O415" s="2">
        <v>1.64</v>
      </c>
    </row>
    <row r="416" spans="1:15" x14ac:dyDescent="0.25">
      <c r="A416" s="47">
        <v>44245</v>
      </c>
      <c r="B416" s="2">
        <v>2.2200000000000002</v>
      </c>
      <c r="C416" s="2">
        <v>756.33</v>
      </c>
      <c r="D416" s="2">
        <v>562.36</v>
      </c>
      <c r="E416" s="2">
        <v>421.37</v>
      </c>
      <c r="F416" s="2">
        <v>0.82</v>
      </c>
      <c r="G416" s="2">
        <v>12.91</v>
      </c>
      <c r="H416" s="2">
        <v>28.43</v>
      </c>
      <c r="I416" s="2">
        <v>732.67</v>
      </c>
      <c r="J416" s="2">
        <v>794.86</v>
      </c>
      <c r="K416" s="2">
        <v>513.80999999999995</v>
      </c>
      <c r="L416" s="2">
        <v>0.64</v>
      </c>
      <c r="M416" s="2">
        <v>14.28</v>
      </c>
      <c r="N416" s="3" t="s">
        <v>36</v>
      </c>
      <c r="O416" s="3" t="s">
        <v>36</v>
      </c>
    </row>
    <row r="417" spans="1:15" x14ac:dyDescent="0.25">
      <c r="A417" s="47">
        <v>44246</v>
      </c>
      <c r="B417" s="2">
        <v>2.0099999999999998</v>
      </c>
      <c r="C417" s="2">
        <v>729.58</v>
      </c>
      <c r="D417" s="2">
        <v>647.34</v>
      </c>
      <c r="E417" s="2">
        <v>434.89</v>
      </c>
      <c r="F417" s="2">
        <v>0.79</v>
      </c>
      <c r="G417" s="2">
        <v>12.75</v>
      </c>
      <c r="H417" s="2">
        <v>19.329999999999998</v>
      </c>
      <c r="I417" s="2">
        <v>715.04</v>
      </c>
      <c r="J417" s="2">
        <v>585.41</v>
      </c>
      <c r="K417" s="2">
        <v>521.07000000000005</v>
      </c>
      <c r="L417" s="2">
        <v>0.68</v>
      </c>
      <c r="M417" s="2">
        <v>14.64</v>
      </c>
      <c r="N417" s="3" t="s">
        <v>36</v>
      </c>
      <c r="O417" s="3" t="s">
        <v>36</v>
      </c>
    </row>
    <row r="418" spans="1:15" x14ac:dyDescent="0.25">
      <c r="A418" s="47">
        <v>44247</v>
      </c>
      <c r="B418" s="2">
        <v>2.61</v>
      </c>
      <c r="C418" s="2">
        <v>747.95</v>
      </c>
      <c r="D418" s="2">
        <v>632.12</v>
      </c>
      <c r="E418" s="2">
        <v>427.58</v>
      </c>
      <c r="F418" s="2">
        <v>0.8</v>
      </c>
      <c r="G418" s="2">
        <v>12.81</v>
      </c>
      <c r="H418" s="2">
        <v>23.95</v>
      </c>
      <c r="I418" s="2">
        <v>696.77</v>
      </c>
      <c r="J418" s="2">
        <v>551.80999999999995</v>
      </c>
      <c r="K418" s="2">
        <v>534.29999999999995</v>
      </c>
      <c r="L418" s="2">
        <v>0.66</v>
      </c>
      <c r="M418" s="2">
        <v>14.54</v>
      </c>
      <c r="N418" s="3" t="s">
        <v>36</v>
      </c>
      <c r="O418" s="3" t="s">
        <v>36</v>
      </c>
    </row>
    <row r="419" spans="1:15" x14ac:dyDescent="0.25">
      <c r="A419" s="47">
        <v>44248</v>
      </c>
      <c r="B419" s="2">
        <v>2.73</v>
      </c>
      <c r="C419" s="2">
        <v>760.34</v>
      </c>
      <c r="D419" s="2">
        <v>739.54</v>
      </c>
      <c r="E419" s="2">
        <v>452.21</v>
      </c>
      <c r="F419" s="2">
        <v>0.82</v>
      </c>
      <c r="G419" s="2">
        <v>12.35</v>
      </c>
      <c r="H419" s="2">
        <v>26.93</v>
      </c>
      <c r="I419" s="2">
        <v>691.62</v>
      </c>
      <c r="J419" s="2">
        <v>671.53</v>
      </c>
      <c r="K419" s="2">
        <v>564.66</v>
      </c>
      <c r="L419" s="2">
        <v>0.62</v>
      </c>
      <c r="M419" s="2">
        <v>14.33</v>
      </c>
      <c r="N419" s="3" t="s">
        <v>36</v>
      </c>
      <c r="O419" s="3" t="s">
        <v>36</v>
      </c>
    </row>
    <row r="420" spans="1:15" x14ac:dyDescent="0.25">
      <c r="A420" s="47">
        <v>44249</v>
      </c>
      <c r="B420" s="2">
        <v>2.54</v>
      </c>
      <c r="C420" s="2">
        <v>760.07</v>
      </c>
      <c r="D420" s="2">
        <v>695.25</v>
      </c>
      <c r="E420" s="2">
        <v>428.73</v>
      </c>
      <c r="F420" s="2">
        <v>0.77</v>
      </c>
      <c r="G420" s="2">
        <v>12.53</v>
      </c>
      <c r="H420" s="2">
        <v>28</v>
      </c>
      <c r="I420" s="2">
        <v>663.28</v>
      </c>
      <c r="J420" s="2">
        <v>633.26</v>
      </c>
      <c r="K420" s="2">
        <v>542.03</v>
      </c>
      <c r="L420" s="2">
        <v>0.67</v>
      </c>
      <c r="M420" s="2">
        <v>14.48</v>
      </c>
      <c r="N420" s="3" t="s">
        <v>36</v>
      </c>
      <c r="O420" s="3" t="s">
        <v>36</v>
      </c>
    </row>
    <row r="421" spans="1:15" x14ac:dyDescent="0.25">
      <c r="A421" s="47">
        <v>44250</v>
      </c>
      <c r="B421" s="2">
        <v>2.35</v>
      </c>
      <c r="C421" s="2">
        <v>762.72</v>
      </c>
      <c r="D421" s="2">
        <v>745.35</v>
      </c>
      <c r="E421" s="2">
        <v>438.52</v>
      </c>
      <c r="F421" s="2">
        <v>0.79</v>
      </c>
      <c r="G421" s="2">
        <v>12.59</v>
      </c>
      <c r="H421" s="2">
        <v>28.16</v>
      </c>
      <c r="I421" s="2">
        <v>641.99</v>
      </c>
      <c r="J421" s="2">
        <v>646.41</v>
      </c>
      <c r="K421" s="2">
        <v>555.85</v>
      </c>
      <c r="L421" s="2">
        <v>0.68</v>
      </c>
      <c r="M421" s="2">
        <v>14.32</v>
      </c>
      <c r="N421" s="2">
        <v>7.33</v>
      </c>
      <c r="O421" s="3" t="s">
        <v>36</v>
      </c>
    </row>
    <row r="422" spans="1:15" x14ac:dyDescent="0.25">
      <c r="A422" s="47">
        <v>44251</v>
      </c>
      <c r="B422" s="2">
        <v>2.4700000000000002</v>
      </c>
      <c r="C422" s="2">
        <v>748.77</v>
      </c>
      <c r="D422" s="2">
        <v>821.97</v>
      </c>
      <c r="E422" s="2">
        <v>478.84</v>
      </c>
      <c r="F422" s="2">
        <v>0.92</v>
      </c>
      <c r="G422" s="2">
        <v>12.8</v>
      </c>
      <c r="H422" s="2">
        <v>25.13</v>
      </c>
      <c r="I422" s="2">
        <v>619.52</v>
      </c>
      <c r="J422" s="2">
        <v>654.58000000000004</v>
      </c>
      <c r="K422" s="2">
        <v>527.52</v>
      </c>
      <c r="L422" s="2">
        <v>0.74</v>
      </c>
      <c r="M422" s="2">
        <v>14.61</v>
      </c>
      <c r="N422" s="2">
        <v>7.33</v>
      </c>
      <c r="O422" s="3" t="s">
        <v>36</v>
      </c>
    </row>
    <row r="423" spans="1:15" x14ac:dyDescent="0.25">
      <c r="A423" s="47">
        <v>44252</v>
      </c>
      <c r="B423" s="3" t="s">
        <v>36</v>
      </c>
      <c r="C423" s="3" t="s">
        <v>36</v>
      </c>
      <c r="D423" s="3" t="s">
        <v>36</v>
      </c>
      <c r="E423" s="3" t="s">
        <v>36</v>
      </c>
      <c r="F423" s="3" t="s">
        <v>36</v>
      </c>
      <c r="G423" s="3" t="s">
        <v>36</v>
      </c>
      <c r="H423" s="2">
        <v>27.76</v>
      </c>
      <c r="I423" s="2">
        <v>593.6</v>
      </c>
      <c r="J423" s="2">
        <v>616.53</v>
      </c>
      <c r="K423" s="2">
        <v>547.01</v>
      </c>
      <c r="L423" s="2">
        <v>0.66</v>
      </c>
      <c r="M423" s="2">
        <v>14.29</v>
      </c>
      <c r="N423" s="2">
        <v>7.33</v>
      </c>
      <c r="O423" s="3" t="s">
        <v>36</v>
      </c>
    </row>
    <row r="424" spans="1:15" x14ac:dyDescent="0.25">
      <c r="A424" s="47">
        <v>44253</v>
      </c>
      <c r="B424" s="3" t="s">
        <v>36</v>
      </c>
      <c r="C424" s="3" t="s">
        <v>36</v>
      </c>
      <c r="D424" s="3" t="s">
        <v>36</v>
      </c>
      <c r="E424" s="3" t="s">
        <v>36</v>
      </c>
      <c r="F424" s="3" t="s">
        <v>36</v>
      </c>
      <c r="G424" s="3" t="s">
        <v>36</v>
      </c>
      <c r="H424" s="2">
        <v>25.01</v>
      </c>
      <c r="I424" s="2">
        <v>617.35</v>
      </c>
      <c r="J424" s="2">
        <v>490.35</v>
      </c>
      <c r="K424" s="2">
        <v>477.88</v>
      </c>
      <c r="L424" s="2">
        <v>0.63</v>
      </c>
      <c r="M424" s="2">
        <v>14.53</v>
      </c>
      <c r="N424" s="2">
        <v>7.33</v>
      </c>
      <c r="O424" s="3" t="s">
        <v>36</v>
      </c>
    </row>
    <row r="425" spans="1:15" x14ac:dyDescent="0.25">
      <c r="A425" s="47">
        <v>44254</v>
      </c>
      <c r="B425" s="3" t="s">
        <v>36</v>
      </c>
      <c r="C425" s="3" t="s">
        <v>36</v>
      </c>
      <c r="D425" s="3" t="s">
        <v>36</v>
      </c>
      <c r="E425" s="3" t="s">
        <v>36</v>
      </c>
      <c r="F425" s="3" t="s">
        <v>36</v>
      </c>
      <c r="G425" s="3" t="s">
        <v>36</v>
      </c>
      <c r="H425" s="2">
        <v>27.59</v>
      </c>
      <c r="I425" s="2">
        <v>611.95000000000005</v>
      </c>
      <c r="J425" s="2">
        <v>518.28</v>
      </c>
      <c r="K425" s="2">
        <v>484.58</v>
      </c>
      <c r="L425" s="2">
        <v>0.65</v>
      </c>
      <c r="M425" s="2">
        <v>14.44</v>
      </c>
      <c r="N425" s="3" t="s">
        <v>36</v>
      </c>
      <c r="O425" s="3" t="s">
        <v>36</v>
      </c>
    </row>
    <row r="426" spans="1:15" x14ac:dyDescent="0.25">
      <c r="A426" s="47">
        <v>44255</v>
      </c>
      <c r="B426" s="3" t="s">
        <v>36</v>
      </c>
      <c r="C426" s="3" t="s">
        <v>36</v>
      </c>
      <c r="D426" s="3" t="s">
        <v>36</v>
      </c>
      <c r="E426" s="3" t="s">
        <v>36</v>
      </c>
      <c r="F426" s="3" t="s">
        <v>36</v>
      </c>
      <c r="G426" s="3" t="s">
        <v>36</v>
      </c>
      <c r="H426" s="2">
        <v>29.29</v>
      </c>
      <c r="I426" s="2">
        <v>565.49</v>
      </c>
      <c r="J426" s="2">
        <v>693.12</v>
      </c>
      <c r="K426" s="2">
        <v>513.77</v>
      </c>
      <c r="L426" s="2">
        <v>0.63</v>
      </c>
      <c r="M426" s="2">
        <v>14.33</v>
      </c>
      <c r="N426" s="3" t="s">
        <v>36</v>
      </c>
      <c r="O426" s="3" t="s">
        <v>36</v>
      </c>
    </row>
    <row r="427" spans="1:15" x14ac:dyDescent="0.25">
      <c r="A427" s="47">
        <v>44256</v>
      </c>
      <c r="B427" s="3" t="s">
        <v>36</v>
      </c>
      <c r="C427" s="3" t="s">
        <v>36</v>
      </c>
      <c r="D427" s="3" t="s">
        <v>36</v>
      </c>
      <c r="E427" s="3" t="s">
        <v>36</v>
      </c>
      <c r="F427" s="3" t="s">
        <v>36</v>
      </c>
      <c r="G427" s="3" t="s">
        <v>36</v>
      </c>
      <c r="H427" s="2">
        <v>36.15</v>
      </c>
      <c r="I427" s="2">
        <v>586.66999999999996</v>
      </c>
      <c r="J427" s="2">
        <v>820.55</v>
      </c>
      <c r="K427" s="2">
        <v>605.94000000000005</v>
      </c>
      <c r="L427" s="2">
        <v>0.62</v>
      </c>
      <c r="M427" s="2">
        <v>14.5</v>
      </c>
      <c r="N427" s="3" t="s">
        <v>36</v>
      </c>
      <c r="O427" s="3" t="s">
        <v>36</v>
      </c>
    </row>
    <row r="428" spans="1:15" x14ac:dyDescent="0.25">
      <c r="A428" s="47">
        <v>44257</v>
      </c>
      <c r="B428" s="3" t="s">
        <v>36</v>
      </c>
      <c r="C428" s="3" t="s">
        <v>36</v>
      </c>
      <c r="D428" s="3" t="s">
        <v>36</v>
      </c>
      <c r="E428" s="3" t="s">
        <v>36</v>
      </c>
      <c r="F428" s="3" t="s">
        <v>36</v>
      </c>
      <c r="G428" s="3" t="s">
        <v>36</v>
      </c>
      <c r="H428" s="2">
        <v>30.28</v>
      </c>
      <c r="I428" s="2">
        <v>599.17999999999995</v>
      </c>
      <c r="J428" s="2">
        <v>815.75</v>
      </c>
      <c r="K428" s="2">
        <v>632.82000000000005</v>
      </c>
      <c r="L428" s="2">
        <v>0.64</v>
      </c>
      <c r="M428" s="2">
        <v>14.76</v>
      </c>
      <c r="N428" s="3" t="s">
        <v>36</v>
      </c>
      <c r="O428" s="3" t="s">
        <v>36</v>
      </c>
    </row>
    <row r="429" spans="1:15" x14ac:dyDescent="0.25">
      <c r="A429" s="47">
        <v>44258</v>
      </c>
      <c r="B429" s="3" t="s">
        <v>36</v>
      </c>
      <c r="C429" s="3" t="s">
        <v>36</v>
      </c>
      <c r="D429" s="3" t="s">
        <v>36</v>
      </c>
      <c r="E429" s="3" t="s">
        <v>36</v>
      </c>
      <c r="F429" s="3" t="s">
        <v>36</v>
      </c>
      <c r="G429" s="3" t="s">
        <v>36</v>
      </c>
      <c r="H429" s="2">
        <v>27.39</v>
      </c>
      <c r="I429" s="2">
        <v>583.71</v>
      </c>
      <c r="J429" s="2">
        <v>854.17</v>
      </c>
      <c r="K429" s="2">
        <v>646.13</v>
      </c>
      <c r="L429" s="2">
        <v>0.64</v>
      </c>
      <c r="M429" s="2">
        <v>15.14</v>
      </c>
      <c r="N429" s="3" t="s">
        <v>36</v>
      </c>
      <c r="O429" s="2">
        <v>-6.19</v>
      </c>
    </row>
    <row r="430" spans="1:15" x14ac:dyDescent="0.25">
      <c r="A430" s="47">
        <v>44259</v>
      </c>
      <c r="B430" s="3" t="s">
        <v>36</v>
      </c>
      <c r="C430" s="3" t="s">
        <v>36</v>
      </c>
      <c r="D430" s="3" t="s">
        <v>36</v>
      </c>
      <c r="E430" s="3" t="s">
        <v>36</v>
      </c>
      <c r="F430" s="3" t="s">
        <v>36</v>
      </c>
      <c r="G430" s="3" t="s">
        <v>36</v>
      </c>
      <c r="H430" s="2">
        <v>40.97</v>
      </c>
      <c r="I430" s="2">
        <v>562.55999999999995</v>
      </c>
      <c r="J430" s="2">
        <v>855.36</v>
      </c>
      <c r="K430" s="2">
        <v>631.71</v>
      </c>
      <c r="L430" s="2">
        <v>0.66</v>
      </c>
      <c r="M430" s="2">
        <v>14.55</v>
      </c>
      <c r="N430" s="3" t="s">
        <v>36</v>
      </c>
      <c r="O430" s="2">
        <v>15.21</v>
      </c>
    </row>
    <row r="431" spans="1:15" x14ac:dyDescent="0.25">
      <c r="A431" s="47">
        <v>44260</v>
      </c>
      <c r="B431" s="3" t="s">
        <v>36</v>
      </c>
      <c r="C431" s="3" t="s">
        <v>36</v>
      </c>
      <c r="D431" s="3" t="s">
        <v>36</v>
      </c>
      <c r="E431" s="3" t="s">
        <v>36</v>
      </c>
      <c r="F431" s="3" t="s">
        <v>36</v>
      </c>
      <c r="G431" s="3" t="s">
        <v>36</v>
      </c>
      <c r="H431" s="2">
        <v>26.56</v>
      </c>
      <c r="I431" s="2">
        <v>573.76</v>
      </c>
      <c r="J431" s="2">
        <v>636.58000000000004</v>
      </c>
      <c r="K431" s="2">
        <v>548.96</v>
      </c>
      <c r="L431" s="2">
        <v>0.84</v>
      </c>
      <c r="M431" s="2">
        <v>15.36</v>
      </c>
      <c r="N431" s="3" t="s">
        <v>36</v>
      </c>
      <c r="O431" s="2">
        <v>1.65</v>
      </c>
    </row>
    <row r="432" spans="1:15" x14ac:dyDescent="0.25">
      <c r="A432" s="47">
        <v>44261</v>
      </c>
      <c r="B432" s="3" t="s">
        <v>36</v>
      </c>
      <c r="C432" s="3" t="s">
        <v>36</v>
      </c>
      <c r="D432" s="3" t="s">
        <v>36</v>
      </c>
      <c r="E432" s="3" t="s">
        <v>36</v>
      </c>
      <c r="F432" s="3" t="s">
        <v>36</v>
      </c>
      <c r="G432" s="3" t="s">
        <v>36</v>
      </c>
      <c r="H432" s="2">
        <v>35.049999999999997</v>
      </c>
      <c r="I432" s="2">
        <v>541.38</v>
      </c>
      <c r="J432" s="2">
        <v>627.91999999999996</v>
      </c>
      <c r="K432" s="2">
        <v>499.83</v>
      </c>
      <c r="L432" s="2">
        <v>1</v>
      </c>
      <c r="M432" s="2">
        <v>15.14</v>
      </c>
      <c r="N432" s="3" t="s">
        <v>36</v>
      </c>
      <c r="O432" s="2">
        <v>1.65</v>
      </c>
    </row>
    <row r="433" spans="1:15" x14ac:dyDescent="0.25">
      <c r="A433" s="47">
        <v>44262</v>
      </c>
      <c r="B433" s="3" t="s">
        <v>36</v>
      </c>
      <c r="C433" s="3" t="s">
        <v>36</v>
      </c>
      <c r="D433" s="3" t="s">
        <v>36</v>
      </c>
      <c r="E433" s="3" t="s">
        <v>36</v>
      </c>
      <c r="F433" s="3" t="s">
        <v>36</v>
      </c>
      <c r="G433" s="3" t="s">
        <v>36</v>
      </c>
      <c r="H433" s="2">
        <v>38.81</v>
      </c>
      <c r="I433" s="2">
        <v>555.5</v>
      </c>
      <c r="J433" s="2">
        <v>813.47</v>
      </c>
      <c r="K433" s="2">
        <v>561.04999999999995</v>
      </c>
      <c r="L433" s="2">
        <v>0.67</v>
      </c>
      <c r="M433" s="2">
        <v>14.41</v>
      </c>
      <c r="N433" s="3" t="s">
        <v>36</v>
      </c>
      <c r="O433" s="2">
        <v>1.44</v>
      </c>
    </row>
    <row r="434" spans="1:15" x14ac:dyDescent="0.25">
      <c r="A434" s="47">
        <v>44263</v>
      </c>
      <c r="B434" s="3" t="s">
        <v>70</v>
      </c>
      <c r="C434" s="3" t="s">
        <v>70</v>
      </c>
      <c r="D434" s="3" t="s">
        <v>70</v>
      </c>
      <c r="E434" s="3" t="s">
        <v>70</v>
      </c>
      <c r="F434" s="3" t="s">
        <v>70</v>
      </c>
      <c r="G434" s="2">
        <v>13.07</v>
      </c>
      <c r="H434" s="2">
        <v>25.78</v>
      </c>
      <c r="I434" s="2">
        <v>543.85</v>
      </c>
      <c r="J434" s="2">
        <v>750</v>
      </c>
      <c r="K434" s="2">
        <v>519.05999999999995</v>
      </c>
      <c r="L434" s="2">
        <v>0.64</v>
      </c>
      <c r="M434" s="2">
        <v>14.51</v>
      </c>
      <c r="N434" s="3" t="s">
        <v>36</v>
      </c>
      <c r="O434" s="2">
        <v>1.35</v>
      </c>
    </row>
    <row r="435" spans="1:15" x14ac:dyDescent="0.25">
      <c r="A435" s="47">
        <v>44264</v>
      </c>
      <c r="B435" s="2">
        <v>2.5099999999999998</v>
      </c>
      <c r="C435" s="2">
        <v>787.24</v>
      </c>
      <c r="D435" s="2">
        <v>876.74</v>
      </c>
      <c r="E435" s="2">
        <v>552.4</v>
      </c>
      <c r="F435" s="2">
        <v>0.67</v>
      </c>
      <c r="G435" s="2">
        <v>13.12</v>
      </c>
      <c r="H435" s="2">
        <v>40.42</v>
      </c>
      <c r="I435" s="2">
        <v>654.08000000000004</v>
      </c>
      <c r="J435" s="2">
        <v>908.56</v>
      </c>
      <c r="K435" s="2">
        <v>508.9</v>
      </c>
      <c r="L435" s="2">
        <v>0.56999999999999995</v>
      </c>
      <c r="M435" s="2">
        <v>14.23</v>
      </c>
      <c r="N435" s="3" t="s">
        <v>36</v>
      </c>
      <c r="O435" s="2">
        <v>1.42</v>
      </c>
    </row>
    <row r="436" spans="1:15" x14ac:dyDescent="0.25">
      <c r="A436" s="47">
        <v>44265</v>
      </c>
      <c r="B436" s="2">
        <v>2.69</v>
      </c>
      <c r="C436" s="3" t="s">
        <v>70</v>
      </c>
      <c r="D436" s="2">
        <v>944.44</v>
      </c>
      <c r="E436" s="2">
        <v>594.66999999999996</v>
      </c>
      <c r="F436" s="2">
        <v>0.73</v>
      </c>
      <c r="G436" s="2">
        <v>13.91</v>
      </c>
      <c r="H436" s="2">
        <v>27.77</v>
      </c>
      <c r="I436" s="2">
        <v>711.08</v>
      </c>
      <c r="J436" s="2">
        <v>699.81</v>
      </c>
      <c r="K436" s="2">
        <v>424.8</v>
      </c>
      <c r="L436" s="2">
        <v>0.7</v>
      </c>
      <c r="M436" s="2">
        <v>14.65</v>
      </c>
      <c r="N436" s="3" t="s">
        <v>36</v>
      </c>
      <c r="O436" s="2">
        <v>1.44</v>
      </c>
    </row>
    <row r="437" spans="1:15" x14ac:dyDescent="0.25">
      <c r="A437" s="47">
        <v>44266</v>
      </c>
      <c r="B437" s="2">
        <v>3.67</v>
      </c>
      <c r="C437" s="3" t="s">
        <v>70</v>
      </c>
      <c r="D437" s="2">
        <v>608.65</v>
      </c>
      <c r="E437" s="2">
        <v>498.72</v>
      </c>
      <c r="F437" s="2">
        <v>0.91</v>
      </c>
      <c r="G437" s="2">
        <v>13.78</v>
      </c>
      <c r="H437" s="2">
        <v>21.57</v>
      </c>
      <c r="I437" s="2">
        <v>688.54</v>
      </c>
      <c r="J437" s="2">
        <v>391.79</v>
      </c>
      <c r="K437" s="2">
        <v>283.7</v>
      </c>
      <c r="L437" s="2">
        <v>0.67</v>
      </c>
      <c r="M437" s="2">
        <v>14.62</v>
      </c>
      <c r="N437" s="3" t="s">
        <v>36</v>
      </c>
      <c r="O437" s="2">
        <v>1.66</v>
      </c>
    </row>
    <row r="438" spans="1:15" x14ac:dyDescent="0.25">
      <c r="A438" s="47">
        <v>44267</v>
      </c>
      <c r="B438" s="2">
        <v>4.68</v>
      </c>
      <c r="C438" s="2">
        <v>705.49</v>
      </c>
      <c r="D438" s="2">
        <v>575.4</v>
      </c>
      <c r="E438" s="2">
        <v>424.68</v>
      </c>
      <c r="F438" s="2">
        <v>0.98</v>
      </c>
      <c r="G438" s="2">
        <v>14.01</v>
      </c>
      <c r="H438" s="2">
        <v>27.52</v>
      </c>
      <c r="I438" s="2">
        <v>725.15</v>
      </c>
      <c r="J438" s="2">
        <v>640.66</v>
      </c>
      <c r="K438" s="2">
        <v>327.81</v>
      </c>
      <c r="L438" s="2">
        <v>0.67</v>
      </c>
      <c r="M438" s="2">
        <v>14.09</v>
      </c>
      <c r="N438" s="3" t="s">
        <v>36</v>
      </c>
      <c r="O438" s="2">
        <v>1.54</v>
      </c>
    </row>
    <row r="439" spans="1:15" x14ac:dyDescent="0.25">
      <c r="A439" s="47">
        <v>44268</v>
      </c>
      <c r="B439" s="2">
        <v>3.34</v>
      </c>
      <c r="C439" s="2">
        <v>587.79</v>
      </c>
      <c r="D439" s="2">
        <v>913.84</v>
      </c>
      <c r="E439" s="2">
        <v>439.23</v>
      </c>
      <c r="F439" s="2">
        <v>0.6</v>
      </c>
      <c r="G439" s="2">
        <v>12.9</v>
      </c>
      <c r="H439" s="3" t="s">
        <v>36</v>
      </c>
      <c r="I439" s="3" t="s">
        <v>36</v>
      </c>
      <c r="J439" s="3" t="s">
        <v>36</v>
      </c>
      <c r="K439" s="3" t="s">
        <v>36</v>
      </c>
      <c r="L439" s="3" t="s">
        <v>36</v>
      </c>
      <c r="M439" s="3" t="s">
        <v>36</v>
      </c>
      <c r="N439" s="3" t="s">
        <v>36</v>
      </c>
      <c r="O439" s="2">
        <v>1.66</v>
      </c>
    </row>
    <row r="440" spans="1:15" x14ac:dyDescent="0.25">
      <c r="A440" s="47">
        <v>44269</v>
      </c>
      <c r="B440" s="2">
        <v>3.54</v>
      </c>
      <c r="C440" s="2">
        <v>743.73</v>
      </c>
      <c r="D440" s="2">
        <v>904.12</v>
      </c>
      <c r="E440" s="2">
        <v>486.55</v>
      </c>
      <c r="F440" s="2">
        <v>0.64</v>
      </c>
      <c r="G440" s="2">
        <v>13.29</v>
      </c>
      <c r="H440" s="2">
        <v>25.78</v>
      </c>
      <c r="I440" s="2">
        <v>677.37</v>
      </c>
      <c r="J440" s="2">
        <v>605.77</v>
      </c>
      <c r="K440" s="2">
        <v>429.31</v>
      </c>
      <c r="L440" s="2">
        <v>0.71</v>
      </c>
      <c r="M440" s="2">
        <v>14.91</v>
      </c>
      <c r="N440" s="3" t="s">
        <v>36</v>
      </c>
      <c r="O440" s="2">
        <v>1.65</v>
      </c>
    </row>
    <row r="441" spans="1:15" x14ac:dyDescent="0.25">
      <c r="A441" s="47">
        <v>44270</v>
      </c>
      <c r="B441" s="2">
        <v>3.46</v>
      </c>
      <c r="C441" s="2">
        <v>759.42</v>
      </c>
      <c r="D441" s="2">
        <v>917.54</v>
      </c>
      <c r="E441" s="2">
        <v>458.21</v>
      </c>
      <c r="F441" s="2">
        <v>0.57999999999999996</v>
      </c>
      <c r="G441" s="2">
        <v>13.2</v>
      </c>
      <c r="H441" s="2">
        <v>26.71</v>
      </c>
      <c r="I441" s="2">
        <v>689.47</v>
      </c>
      <c r="J441" s="2">
        <v>710.59</v>
      </c>
      <c r="K441" s="2">
        <v>484.1</v>
      </c>
      <c r="L441" s="2">
        <v>0.57999999999999996</v>
      </c>
      <c r="M441" s="2">
        <v>14.24</v>
      </c>
      <c r="N441" s="3" t="s">
        <v>36</v>
      </c>
      <c r="O441" s="2">
        <v>1.66</v>
      </c>
    </row>
    <row r="442" spans="1:15" x14ac:dyDescent="0.25">
      <c r="A442" s="47">
        <v>44271</v>
      </c>
      <c r="B442" s="2">
        <v>3.63</v>
      </c>
      <c r="C442" s="2">
        <v>746.03</v>
      </c>
      <c r="D442" s="2">
        <v>906.92</v>
      </c>
      <c r="E442" s="2">
        <v>472.95</v>
      </c>
      <c r="F442" s="2">
        <v>0.66</v>
      </c>
      <c r="G442" s="2">
        <v>13.62</v>
      </c>
      <c r="H442" s="2">
        <v>26.5</v>
      </c>
      <c r="I442" s="2">
        <v>668.13</v>
      </c>
      <c r="J442" s="2">
        <v>729.31</v>
      </c>
      <c r="K442" s="2">
        <v>445.17</v>
      </c>
      <c r="L442" s="2">
        <v>0.66</v>
      </c>
      <c r="M442" s="2">
        <v>14.46</v>
      </c>
      <c r="N442" s="3" t="s">
        <v>36</v>
      </c>
      <c r="O442" s="2">
        <v>1.0900000000000001</v>
      </c>
    </row>
    <row r="443" spans="1:15" x14ac:dyDescent="0.25">
      <c r="A443" s="47">
        <v>44272</v>
      </c>
      <c r="B443" s="2">
        <v>3.55</v>
      </c>
      <c r="C443" s="2">
        <v>734.51</v>
      </c>
      <c r="D443" s="2">
        <v>914.06</v>
      </c>
      <c r="E443" s="2">
        <v>448.93</v>
      </c>
      <c r="F443" s="2">
        <v>0.59</v>
      </c>
      <c r="G443" s="2">
        <v>13.35</v>
      </c>
      <c r="H443" s="2">
        <v>38.36</v>
      </c>
      <c r="I443" s="2">
        <v>712.62</v>
      </c>
      <c r="J443" s="2">
        <v>838.89</v>
      </c>
      <c r="K443" s="2">
        <v>416.52</v>
      </c>
      <c r="L443" s="2">
        <v>0.64</v>
      </c>
      <c r="M443" s="2">
        <v>14.25</v>
      </c>
      <c r="N443" s="3" t="s">
        <v>36</v>
      </c>
      <c r="O443" s="2">
        <v>1.51</v>
      </c>
    </row>
    <row r="444" spans="1:15" x14ac:dyDescent="0.25">
      <c r="A444" s="47">
        <v>44273</v>
      </c>
      <c r="B444" s="3" t="s">
        <v>70</v>
      </c>
      <c r="C444" s="3" t="s">
        <v>70</v>
      </c>
      <c r="D444" s="3" t="s">
        <v>70</v>
      </c>
      <c r="E444" s="3" t="s">
        <v>70</v>
      </c>
      <c r="F444" s="3" t="s">
        <v>70</v>
      </c>
      <c r="G444" s="2">
        <v>15.42</v>
      </c>
      <c r="H444" s="2">
        <v>29.44</v>
      </c>
      <c r="I444" s="2">
        <v>773.66</v>
      </c>
      <c r="J444" s="2">
        <v>793.14</v>
      </c>
      <c r="K444" s="2">
        <v>471.88</v>
      </c>
      <c r="L444" s="2">
        <v>0.67</v>
      </c>
      <c r="M444" s="2">
        <v>14.76</v>
      </c>
      <c r="N444" s="3" t="s">
        <v>36</v>
      </c>
      <c r="O444" s="2">
        <v>1.17</v>
      </c>
    </row>
    <row r="445" spans="1:15" x14ac:dyDescent="0.25">
      <c r="A445" s="47">
        <v>44274</v>
      </c>
      <c r="B445" s="2">
        <v>3.4</v>
      </c>
      <c r="C445" s="2">
        <v>761.25</v>
      </c>
      <c r="D445" s="2">
        <v>1019.13</v>
      </c>
      <c r="E445" s="2">
        <v>498.87</v>
      </c>
      <c r="F445" s="2">
        <v>0.75</v>
      </c>
      <c r="G445" s="2">
        <v>13.02</v>
      </c>
      <c r="H445" s="2">
        <v>34.65</v>
      </c>
      <c r="I445" s="2">
        <v>777.83</v>
      </c>
      <c r="J445" s="2">
        <v>862.56</v>
      </c>
      <c r="K445" s="2">
        <v>561.55999999999995</v>
      </c>
      <c r="L445" s="2">
        <v>0.74</v>
      </c>
      <c r="M445" s="2">
        <v>15.47</v>
      </c>
      <c r="N445" s="3" t="s">
        <v>36</v>
      </c>
      <c r="O445" s="2">
        <v>1.55</v>
      </c>
    </row>
    <row r="446" spans="1:15" x14ac:dyDescent="0.25">
      <c r="A446" s="47">
        <v>44275</v>
      </c>
      <c r="B446" s="2">
        <v>3.65</v>
      </c>
      <c r="C446" s="2">
        <v>747.56</v>
      </c>
      <c r="D446" s="2">
        <v>992</v>
      </c>
      <c r="E446" s="2">
        <v>488.85</v>
      </c>
      <c r="F446" s="2">
        <v>0.85</v>
      </c>
      <c r="G446" s="2">
        <v>13.79</v>
      </c>
      <c r="H446" s="2">
        <v>33.1</v>
      </c>
      <c r="I446" s="2">
        <v>733.64</v>
      </c>
      <c r="J446" s="2">
        <v>891.8</v>
      </c>
      <c r="K446" s="2">
        <v>562.66</v>
      </c>
      <c r="L446" s="2">
        <v>0.79</v>
      </c>
      <c r="M446" s="2">
        <v>15.64</v>
      </c>
      <c r="N446" s="3" t="s">
        <v>36</v>
      </c>
      <c r="O446" s="2">
        <v>4.93</v>
      </c>
    </row>
    <row r="447" spans="1:15" x14ac:dyDescent="0.25">
      <c r="A447" s="47">
        <v>44276</v>
      </c>
      <c r="B447" s="2">
        <v>3.37</v>
      </c>
      <c r="C447" s="2">
        <v>759.26</v>
      </c>
      <c r="D447" s="2">
        <v>1016.72</v>
      </c>
      <c r="E447" s="2">
        <v>498.78</v>
      </c>
      <c r="F447" s="2">
        <v>0.78</v>
      </c>
      <c r="G447" s="2">
        <v>12.98</v>
      </c>
      <c r="H447" s="2">
        <v>45.74</v>
      </c>
      <c r="I447" s="53">
        <v>866.12</v>
      </c>
      <c r="J447" s="2">
        <v>918.77</v>
      </c>
      <c r="K447" s="2">
        <v>618.37</v>
      </c>
      <c r="L447" s="2">
        <v>0.72</v>
      </c>
      <c r="M447" s="2">
        <v>15.83</v>
      </c>
      <c r="N447" s="3" t="s">
        <v>36</v>
      </c>
      <c r="O447" s="2">
        <v>26.65</v>
      </c>
    </row>
    <row r="448" spans="1:15" x14ac:dyDescent="0.25">
      <c r="A448" s="47">
        <v>44277</v>
      </c>
      <c r="B448" s="2">
        <v>3.38</v>
      </c>
      <c r="C448" s="2">
        <v>753.08</v>
      </c>
      <c r="D448" s="2">
        <v>996.14</v>
      </c>
      <c r="E448" s="2">
        <v>493.55</v>
      </c>
      <c r="F448" s="2">
        <v>0.75</v>
      </c>
      <c r="G448" s="2">
        <v>12.96</v>
      </c>
      <c r="H448" s="2">
        <v>40.6</v>
      </c>
      <c r="I448" s="53">
        <v>809.18</v>
      </c>
      <c r="J448" s="2">
        <v>897.04</v>
      </c>
      <c r="K448" s="2">
        <v>558.33000000000004</v>
      </c>
      <c r="L448" s="2">
        <v>0.74</v>
      </c>
      <c r="M448" s="2">
        <v>15.45</v>
      </c>
      <c r="N448" s="3" t="s">
        <v>36</v>
      </c>
      <c r="O448" s="2">
        <v>0.27</v>
      </c>
    </row>
    <row r="449" spans="1:15" x14ac:dyDescent="0.25">
      <c r="A449" s="47">
        <v>44278</v>
      </c>
      <c r="B449" s="2">
        <v>3.52</v>
      </c>
      <c r="C449" s="2">
        <v>755.58</v>
      </c>
      <c r="D449" s="2">
        <v>952.77</v>
      </c>
      <c r="E449" s="2">
        <v>489.34</v>
      </c>
      <c r="F449" s="2">
        <v>0.79</v>
      </c>
      <c r="G449" s="2">
        <v>13.26</v>
      </c>
      <c r="H449" s="2">
        <v>45.17</v>
      </c>
      <c r="I449" s="2">
        <v>720.22</v>
      </c>
      <c r="J449" s="2">
        <v>912.05</v>
      </c>
      <c r="K449" s="2">
        <v>507.68</v>
      </c>
      <c r="L449" s="2">
        <v>0.56000000000000005</v>
      </c>
      <c r="M449" s="2">
        <v>14.48</v>
      </c>
      <c r="N449" s="3" t="s">
        <v>36</v>
      </c>
      <c r="O449" s="2">
        <v>1.66</v>
      </c>
    </row>
    <row r="450" spans="1:15" x14ac:dyDescent="0.25">
      <c r="A450" s="47">
        <v>44279</v>
      </c>
      <c r="B450" s="2">
        <v>3.72</v>
      </c>
      <c r="C450" s="2">
        <v>668.14</v>
      </c>
      <c r="D450" s="2">
        <v>983.34</v>
      </c>
      <c r="E450" s="2">
        <v>502.56</v>
      </c>
      <c r="F450" s="2">
        <v>0.84</v>
      </c>
      <c r="G450" s="2">
        <v>13.68</v>
      </c>
      <c r="H450" s="2">
        <v>40.46</v>
      </c>
      <c r="I450" s="2">
        <v>659.73</v>
      </c>
      <c r="J450" s="2">
        <v>915.96</v>
      </c>
      <c r="K450" s="2">
        <v>480.63</v>
      </c>
      <c r="L450" s="2">
        <v>0.63</v>
      </c>
      <c r="M450" s="2">
        <v>14.42</v>
      </c>
      <c r="N450" s="3" t="s">
        <v>36</v>
      </c>
      <c r="O450" s="2">
        <v>1.52</v>
      </c>
    </row>
    <row r="451" spans="1:15" x14ac:dyDescent="0.25">
      <c r="A451" s="47">
        <v>44280</v>
      </c>
      <c r="B451" s="2">
        <v>3.39</v>
      </c>
      <c r="C451" s="2">
        <v>734.27</v>
      </c>
      <c r="D451" s="2">
        <v>1167.99</v>
      </c>
      <c r="E451" s="2">
        <v>472.88</v>
      </c>
      <c r="F451" s="2">
        <v>0.88</v>
      </c>
      <c r="G451" s="2">
        <v>13.32</v>
      </c>
      <c r="H451" s="2">
        <v>33.409999999999997</v>
      </c>
      <c r="I451" s="2">
        <v>667.82</v>
      </c>
      <c r="J451" s="2">
        <v>924.82</v>
      </c>
      <c r="K451" s="2">
        <v>495.7</v>
      </c>
      <c r="L451" s="2">
        <v>0.54</v>
      </c>
      <c r="M451" s="2">
        <v>14.61</v>
      </c>
      <c r="N451" s="3" t="s">
        <v>36</v>
      </c>
      <c r="O451" s="2">
        <v>1.74</v>
      </c>
    </row>
    <row r="452" spans="1:15" x14ac:dyDescent="0.25">
      <c r="A452" s="47">
        <v>44281</v>
      </c>
      <c r="B452" s="3" t="s">
        <v>36</v>
      </c>
      <c r="C452" s="3" t="s">
        <v>36</v>
      </c>
      <c r="D452" s="3" t="s">
        <v>36</v>
      </c>
      <c r="E452" s="3" t="s">
        <v>36</v>
      </c>
      <c r="F452" s="3" t="s">
        <v>36</v>
      </c>
      <c r="G452" s="3" t="s">
        <v>36</v>
      </c>
      <c r="H452" s="2">
        <v>36.54</v>
      </c>
      <c r="I452" s="2">
        <v>664.53</v>
      </c>
      <c r="J452" s="2">
        <v>1015.31</v>
      </c>
      <c r="K452" s="2">
        <v>546.35</v>
      </c>
      <c r="L452" s="2">
        <v>0.53</v>
      </c>
      <c r="M452" s="2">
        <v>14.21</v>
      </c>
      <c r="N452" s="3" t="s">
        <v>36</v>
      </c>
      <c r="O452" s="2">
        <v>2.0299999999999998</v>
      </c>
    </row>
    <row r="453" spans="1:15" x14ac:dyDescent="0.25">
      <c r="A453" s="47">
        <v>44282</v>
      </c>
      <c r="B453" s="3" t="s">
        <v>36</v>
      </c>
      <c r="C453" s="3" t="s">
        <v>36</v>
      </c>
      <c r="D453" s="3" t="s">
        <v>36</v>
      </c>
      <c r="E453" s="3" t="s">
        <v>36</v>
      </c>
      <c r="F453" s="3" t="s">
        <v>36</v>
      </c>
      <c r="G453" s="3" t="s">
        <v>36</v>
      </c>
      <c r="H453" s="2">
        <v>38.26</v>
      </c>
      <c r="I453" s="2">
        <v>676.87</v>
      </c>
      <c r="J453" s="2">
        <v>948.15</v>
      </c>
      <c r="K453" s="2">
        <v>570.33000000000004</v>
      </c>
      <c r="L453" s="2">
        <v>0.59</v>
      </c>
      <c r="M453" s="2">
        <v>14.57</v>
      </c>
      <c r="N453" s="3" t="s">
        <v>36</v>
      </c>
      <c r="O453" s="2">
        <v>1.94</v>
      </c>
    </row>
    <row r="454" spans="1:15" x14ac:dyDescent="0.25">
      <c r="A454" s="47">
        <v>44283</v>
      </c>
      <c r="B454" s="3" t="s">
        <v>36</v>
      </c>
      <c r="C454" s="3" t="s">
        <v>36</v>
      </c>
      <c r="D454" s="3" t="s">
        <v>36</v>
      </c>
      <c r="E454" s="3" t="s">
        <v>36</v>
      </c>
      <c r="F454" s="3" t="s">
        <v>36</v>
      </c>
      <c r="G454" s="3" t="s">
        <v>36</v>
      </c>
      <c r="H454" s="2">
        <v>34.64</v>
      </c>
      <c r="I454" s="2">
        <v>675.94</v>
      </c>
      <c r="J454" s="2">
        <v>940.65</v>
      </c>
      <c r="K454" s="2">
        <v>564.44000000000005</v>
      </c>
      <c r="L454" s="2">
        <v>0.67</v>
      </c>
      <c r="M454" s="2">
        <v>14.69</v>
      </c>
      <c r="N454" s="3" t="s">
        <v>36</v>
      </c>
      <c r="O454" s="2">
        <v>1.61</v>
      </c>
    </row>
    <row r="455" spans="1:15" x14ac:dyDescent="0.25">
      <c r="A455" s="47">
        <v>44284</v>
      </c>
      <c r="B455" s="3" t="s">
        <v>36</v>
      </c>
      <c r="C455" s="3" t="s">
        <v>36</v>
      </c>
      <c r="D455" s="3" t="s">
        <v>36</v>
      </c>
      <c r="E455" s="3" t="s">
        <v>36</v>
      </c>
      <c r="F455" s="3" t="s">
        <v>36</v>
      </c>
      <c r="G455" s="3" t="s">
        <v>36</v>
      </c>
      <c r="H455" s="2">
        <v>39.5</v>
      </c>
      <c r="I455" s="2">
        <v>648.80999999999995</v>
      </c>
      <c r="J455" s="2">
        <v>1215.1600000000001</v>
      </c>
      <c r="K455" s="2">
        <v>564.58000000000004</v>
      </c>
      <c r="L455" s="2">
        <v>0.51</v>
      </c>
      <c r="M455" s="2">
        <v>15.98</v>
      </c>
      <c r="N455" s="3" t="s">
        <v>36</v>
      </c>
      <c r="O455" s="2">
        <v>0.49</v>
      </c>
    </row>
    <row r="456" spans="1:15" x14ac:dyDescent="0.25">
      <c r="A456" s="47">
        <v>44285</v>
      </c>
      <c r="B456" s="3" t="s">
        <v>36</v>
      </c>
      <c r="C456" s="3" t="s">
        <v>36</v>
      </c>
      <c r="D456" s="3" t="s">
        <v>36</v>
      </c>
      <c r="E456" s="3" t="s">
        <v>36</v>
      </c>
      <c r="F456" s="3" t="s">
        <v>36</v>
      </c>
      <c r="G456" s="3" t="s">
        <v>36</v>
      </c>
      <c r="H456" s="2">
        <v>26.22</v>
      </c>
      <c r="I456" s="3" t="s">
        <v>70</v>
      </c>
      <c r="J456" s="3" t="s">
        <v>70</v>
      </c>
      <c r="K456" s="3" t="s">
        <v>70</v>
      </c>
      <c r="L456" s="2">
        <v>0.7</v>
      </c>
      <c r="M456" s="2">
        <v>16.61</v>
      </c>
      <c r="N456" s="3" t="s">
        <v>36</v>
      </c>
      <c r="O456" s="2">
        <v>1.95</v>
      </c>
    </row>
    <row r="457" spans="1:15" x14ac:dyDescent="0.25">
      <c r="A457" s="47">
        <v>44286</v>
      </c>
      <c r="B457" s="3" t="s">
        <v>36</v>
      </c>
      <c r="C457" s="3" t="s">
        <v>36</v>
      </c>
      <c r="D457" s="3" t="s">
        <v>36</v>
      </c>
      <c r="E457" s="3" t="s">
        <v>36</v>
      </c>
      <c r="F457" s="3" t="s">
        <v>36</v>
      </c>
      <c r="G457" s="3" t="s">
        <v>36</v>
      </c>
      <c r="H457" s="2">
        <v>22.85</v>
      </c>
      <c r="I457" s="2">
        <v>693.02</v>
      </c>
      <c r="J457" s="2">
        <v>892.91</v>
      </c>
      <c r="K457" s="2">
        <v>501.83</v>
      </c>
      <c r="L457" s="2">
        <v>0.72</v>
      </c>
      <c r="M457" s="2">
        <v>14.17</v>
      </c>
      <c r="N457" s="3" t="s">
        <v>36</v>
      </c>
      <c r="O457" s="2">
        <v>1.6</v>
      </c>
    </row>
    <row r="458" spans="1:15" x14ac:dyDescent="0.25">
      <c r="A458" s="47">
        <v>44287</v>
      </c>
      <c r="B458" s="3" t="s">
        <v>36</v>
      </c>
      <c r="C458" s="3" t="s">
        <v>36</v>
      </c>
      <c r="D458" s="3" t="s">
        <v>36</v>
      </c>
      <c r="E458" s="3" t="s">
        <v>36</v>
      </c>
      <c r="F458" s="3" t="s">
        <v>36</v>
      </c>
      <c r="G458" s="3" t="s">
        <v>36</v>
      </c>
      <c r="H458" s="2">
        <v>16.71</v>
      </c>
      <c r="I458" s="2">
        <v>726.6</v>
      </c>
      <c r="J458" s="2">
        <v>832.37</v>
      </c>
      <c r="K458" s="2">
        <v>500.53</v>
      </c>
      <c r="L458" s="2">
        <v>0.84</v>
      </c>
      <c r="M458" s="2">
        <v>14.56</v>
      </c>
      <c r="N458" s="3" t="s">
        <v>36</v>
      </c>
      <c r="O458" s="2">
        <v>1.41</v>
      </c>
    </row>
    <row r="459" spans="1:15" x14ac:dyDescent="0.25">
      <c r="A459" s="47">
        <v>44288</v>
      </c>
      <c r="B459" s="3" t="s">
        <v>36</v>
      </c>
      <c r="C459" s="3" t="s">
        <v>36</v>
      </c>
      <c r="D459" s="3" t="s">
        <v>36</v>
      </c>
      <c r="E459" s="3" t="s">
        <v>36</v>
      </c>
      <c r="F459" s="3" t="s">
        <v>36</v>
      </c>
      <c r="G459" s="3" t="s">
        <v>36</v>
      </c>
      <c r="H459" s="2">
        <v>17.28</v>
      </c>
      <c r="I459" s="2">
        <v>729.63</v>
      </c>
      <c r="J459" s="2">
        <v>881.73</v>
      </c>
      <c r="K459" s="2">
        <v>548.84</v>
      </c>
      <c r="L459" s="2">
        <v>0.71</v>
      </c>
      <c r="M459" s="2">
        <v>14.32</v>
      </c>
      <c r="N459" s="3" t="s">
        <v>36</v>
      </c>
      <c r="O459" s="2">
        <v>1.62</v>
      </c>
    </row>
    <row r="460" spans="1:15" x14ac:dyDescent="0.25">
      <c r="A460" s="47">
        <v>44289</v>
      </c>
      <c r="B460" s="3" t="s">
        <v>36</v>
      </c>
      <c r="C460" s="3" t="s">
        <v>36</v>
      </c>
      <c r="D460" s="3" t="s">
        <v>36</v>
      </c>
      <c r="E460" s="3" t="s">
        <v>36</v>
      </c>
      <c r="F460" s="3" t="s">
        <v>36</v>
      </c>
      <c r="G460" s="3" t="s">
        <v>36</v>
      </c>
      <c r="H460" s="2">
        <v>18.64</v>
      </c>
      <c r="I460" s="2">
        <v>708.43</v>
      </c>
      <c r="J460" s="2">
        <v>903.22</v>
      </c>
      <c r="K460" s="2">
        <v>539.79999999999995</v>
      </c>
      <c r="L460" s="2">
        <v>0.71</v>
      </c>
      <c r="M460" s="2">
        <v>14.14</v>
      </c>
      <c r="N460" s="3" t="s">
        <v>36</v>
      </c>
      <c r="O460" s="2">
        <v>1.58</v>
      </c>
    </row>
    <row r="461" spans="1:15" x14ac:dyDescent="0.25">
      <c r="A461" s="47">
        <v>44290</v>
      </c>
      <c r="B461" s="3" t="s">
        <v>36</v>
      </c>
      <c r="C461" s="3" t="s">
        <v>36</v>
      </c>
      <c r="D461" s="3" t="s">
        <v>36</v>
      </c>
      <c r="E461" s="3" t="s">
        <v>36</v>
      </c>
      <c r="F461" s="3" t="s">
        <v>36</v>
      </c>
      <c r="G461" s="3" t="s">
        <v>36</v>
      </c>
      <c r="H461" s="2">
        <v>15.9</v>
      </c>
      <c r="I461" s="2">
        <v>737.12</v>
      </c>
      <c r="J461" s="2">
        <v>925.98</v>
      </c>
      <c r="K461" s="2">
        <v>495.47</v>
      </c>
      <c r="L461" s="2">
        <v>1.2</v>
      </c>
      <c r="M461" s="2">
        <v>14.32</v>
      </c>
      <c r="N461" s="3" t="s">
        <v>36</v>
      </c>
      <c r="O461" s="3" t="s">
        <v>36</v>
      </c>
    </row>
    <row r="462" spans="1:15" x14ac:dyDescent="0.25">
      <c r="A462" s="47">
        <v>44291</v>
      </c>
      <c r="B462" s="3" t="s">
        <v>36</v>
      </c>
      <c r="C462" s="3" t="s">
        <v>36</v>
      </c>
      <c r="D462" s="3" t="s">
        <v>36</v>
      </c>
      <c r="E462" s="3" t="s">
        <v>36</v>
      </c>
      <c r="F462" s="3" t="s">
        <v>36</v>
      </c>
      <c r="G462" s="3" t="s">
        <v>36</v>
      </c>
      <c r="H462" s="2">
        <v>14.45</v>
      </c>
      <c r="I462" s="2">
        <v>713.99</v>
      </c>
      <c r="J462" s="2">
        <v>832.51</v>
      </c>
      <c r="K462" s="2">
        <v>530.07000000000005</v>
      </c>
      <c r="L462" s="2">
        <v>0.71</v>
      </c>
      <c r="M462" s="2">
        <v>14.17</v>
      </c>
      <c r="N462" s="3" t="s">
        <v>36</v>
      </c>
      <c r="O462" s="2">
        <v>1.06</v>
      </c>
    </row>
    <row r="463" spans="1:15" x14ac:dyDescent="0.25">
      <c r="A463" s="47">
        <v>44292</v>
      </c>
      <c r="B463" s="3" t="s">
        <v>36</v>
      </c>
      <c r="C463" s="3" t="s">
        <v>36</v>
      </c>
      <c r="D463" s="3" t="s">
        <v>36</v>
      </c>
      <c r="E463" s="3" t="s">
        <v>36</v>
      </c>
      <c r="F463" s="3" t="s">
        <v>36</v>
      </c>
      <c r="G463" s="3" t="s">
        <v>36</v>
      </c>
      <c r="H463" s="2">
        <v>15.31</v>
      </c>
      <c r="I463" s="2">
        <v>716.47</v>
      </c>
      <c r="J463" s="2">
        <v>872.99</v>
      </c>
      <c r="K463" s="2">
        <v>512.67999999999995</v>
      </c>
      <c r="L463" s="2">
        <v>0.67</v>
      </c>
      <c r="M463" s="2">
        <v>14.21</v>
      </c>
      <c r="N463" s="3" t="s">
        <v>36</v>
      </c>
      <c r="O463" s="2">
        <v>1.19</v>
      </c>
    </row>
    <row r="464" spans="1:15" x14ac:dyDescent="0.25">
      <c r="A464" s="47">
        <v>44293</v>
      </c>
      <c r="B464" s="3" t="s">
        <v>36</v>
      </c>
      <c r="C464" s="3" t="s">
        <v>36</v>
      </c>
      <c r="D464" s="3" t="s">
        <v>36</v>
      </c>
      <c r="E464" s="3" t="s">
        <v>36</v>
      </c>
      <c r="F464" s="3" t="s">
        <v>36</v>
      </c>
      <c r="G464" s="3" t="s">
        <v>36</v>
      </c>
      <c r="H464" s="2">
        <v>15.78</v>
      </c>
      <c r="I464" s="2">
        <v>701.09</v>
      </c>
      <c r="J464" s="2">
        <v>892.44</v>
      </c>
      <c r="K464" s="2">
        <v>517.54</v>
      </c>
      <c r="L464" s="2">
        <v>0.75</v>
      </c>
      <c r="M464" s="2">
        <v>14.2</v>
      </c>
      <c r="N464" s="3" t="s">
        <v>36</v>
      </c>
      <c r="O464" s="2">
        <v>1.52</v>
      </c>
    </row>
    <row r="465" spans="1:15" x14ac:dyDescent="0.25">
      <c r="A465" s="47">
        <v>44294</v>
      </c>
      <c r="B465" s="3" t="s">
        <v>36</v>
      </c>
      <c r="C465" s="3" t="s">
        <v>36</v>
      </c>
      <c r="D465" s="3" t="s">
        <v>36</v>
      </c>
      <c r="E465" s="3" t="s">
        <v>36</v>
      </c>
      <c r="F465" s="3" t="s">
        <v>36</v>
      </c>
      <c r="G465" s="3" t="s">
        <v>36</v>
      </c>
      <c r="H465" s="2">
        <v>18.41</v>
      </c>
      <c r="I465" s="2">
        <v>686.01</v>
      </c>
      <c r="J465" s="2">
        <v>698.35</v>
      </c>
      <c r="K465" s="2">
        <v>639.48</v>
      </c>
      <c r="L465" s="2">
        <v>0.7</v>
      </c>
      <c r="M465" s="2">
        <v>13.91</v>
      </c>
      <c r="N465" s="3" t="s">
        <v>36</v>
      </c>
      <c r="O465" s="2">
        <v>1.62</v>
      </c>
    </row>
    <row r="466" spans="1:15" x14ac:dyDescent="0.25">
      <c r="A466" s="47">
        <v>44295</v>
      </c>
      <c r="B466" s="3" t="s">
        <v>36</v>
      </c>
      <c r="C466" s="3" t="s">
        <v>36</v>
      </c>
      <c r="D466" s="3" t="s">
        <v>36</v>
      </c>
      <c r="E466" s="3" t="s">
        <v>36</v>
      </c>
      <c r="F466" s="3" t="s">
        <v>36</v>
      </c>
      <c r="G466" s="3" t="s">
        <v>36</v>
      </c>
      <c r="H466" s="2">
        <v>12.46</v>
      </c>
      <c r="I466" s="2">
        <v>642.16</v>
      </c>
      <c r="J466" s="2">
        <v>174.57</v>
      </c>
      <c r="K466" s="2">
        <v>560.96</v>
      </c>
      <c r="L466" s="2">
        <v>0.67</v>
      </c>
      <c r="M466" s="2">
        <v>13.62</v>
      </c>
      <c r="N466" s="3" t="s">
        <v>36</v>
      </c>
      <c r="O466" s="2">
        <v>1.6</v>
      </c>
    </row>
    <row r="467" spans="1:15" x14ac:dyDescent="0.25">
      <c r="A467" s="47">
        <v>44296</v>
      </c>
      <c r="B467" s="3" t="s">
        <v>36</v>
      </c>
      <c r="C467" s="3" t="s">
        <v>36</v>
      </c>
      <c r="D467" s="3" t="s">
        <v>36</v>
      </c>
      <c r="E467" s="3" t="s">
        <v>36</v>
      </c>
      <c r="F467" s="3" t="s">
        <v>36</v>
      </c>
      <c r="G467" s="3" t="s">
        <v>36</v>
      </c>
      <c r="H467" s="2">
        <v>12.68</v>
      </c>
      <c r="I467" s="2">
        <v>617.66999999999996</v>
      </c>
      <c r="J467" s="2">
        <v>128.13</v>
      </c>
      <c r="K467" s="2">
        <v>532.98</v>
      </c>
      <c r="L467" s="2">
        <v>0.66</v>
      </c>
      <c r="M467" s="2">
        <v>13.71</v>
      </c>
      <c r="N467" s="3" t="s">
        <v>36</v>
      </c>
      <c r="O467" s="2">
        <v>1.65</v>
      </c>
    </row>
    <row r="468" spans="1:15" x14ac:dyDescent="0.25">
      <c r="A468" s="47">
        <v>44297</v>
      </c>
      <c r="B468" s="3" t="s">
        <v>36</v>
      </c>
      <c r="C468" s="3" t="s">
        <v>36</v>
      </c>
      <c r="D468" s="3" t="s">
        <v>36</v>
      </c>
      <c r="E468" s="3" t="s">
        <v>36</v>
      </c>
      <c r="F468" s="3" t="s">
        <v>36</v>
      </c>
      <c r="G468" s="3" t="s">
        <v>36</v>
      </c>
      <c r="H468" s="2">
        <v>11.34</v>
      </c>
      <c r="I468" s="2">
        <v>680.53</v>
      </c>
      <c r="J468" s="2">
        <v>562.49</v>
      </c>
      <c r="K468" s="2">
        <v>672.8</v>
      </c>
      <c r="L468" s="2">
        <v>0.73</v>
      </c>
      <c r="M468" s="2">
        <v>13.9</v>
      </c>
      <c r="N468" s="3" t="s">
        <v>36</v>
      </c>
      <c r="O468" s="2">
        <v>1.66</v>
      </c>
    </row>
    <row r="469" spans="1:15" x14ac:dyDescent="0.25">
      <c r="A469" s="47">
        <v>44298</v>
      </c>
      <c r="B469" s="3" t="s">
        <v>70</v>
      </c>
      <c r="C469" s="3" t="s">
        <v>70</v>
      </c>
      <c r="D469" s="3" t="s">
        <v>70</v>
      </c>
      <c r="E469" s="3" t="s">
        <v>70</v>
      </c>
      <c r="F469" s="3" t="s">
        <v>70</v>
      </c>
      <c r="G469" s="2">
        <v>16</v>
      </c>
      <c r="H469" s="2">
        <v>13.15</v>
      </c>
      <c r="I469" s="2">
        <v>676.12</v>
      </c>
      <c r="J469" s="2">
        <v>894.78</v>
      </c>
      <c r="K469" s="2">
        <v>754.74</v>
      </c>
      <c r="L469" s="2">
        <v>0.69</v>
      </c>
      <c r="M469" s="2">
        <v>14.03</v>
      </c>
      <c r="N469" s="3" t="s">
        <v>36</v>
      </c>
      <c r="O469" s="2">
        <v>0.09</v>
      </c>
    </row>
    <row r="470" spans="1:15" x14ac:dyDescent="0.25">
      <c r="A470" s="47">
        <v>44299</v>
      </c>
      <c r="B470" s="2">
        <v>21.21</v>
      </c>
      <c r="C470" s="2">
        <v>714.7</v>
      </c>
      <c r="D470" s="2">
        <v>1290.24</v>
      </c>
      <c r="E470" s="2">
        <v>669.53</v>
      </c>
      <c r="F470" s="2">
        <v>0.59</v>
      </c>
      <c r="G470" s="2">
        <v>14.03</v>
      </c>
      <c r="H470" s="2">
        <v>15.72</v>
      </c>
      <c r="I470" s="2">
        <v>646.96</v>
      </c>
      <c r="J470" s="2">
        <v>886.88</v>
      </c>
      <c r="K470" s="2">
        <v>728.51</v>
      </c>
      <c r="L470" s="2">
        <v>0.64</v>
      </c>
      <c r="M470" s="2">
        <v>13.75</v>
      </c>
      <c r="N470" s="3" t="s">
        <v>36</v>
      </c>
      <c r="O470" s="2">
        <v>1.65</v>
      </c>
    </row>
    <row r="471" spans="1:15" x14ac:dyDescent="0.25">
      <c r="A471" s="47">
        <v>44300</v>
      </c>
      <c r="B471" s="2">
        <v>19.32</v>
      </c>
      <c r="C471" s="2">
        <v>722.91</v>
      </c>
      <c r="D471" s="2">
        <v>1173.78</v>
      </c>
      <c r="E471" s="2">
        <v>726.19</v>
      </c>
      <c r="F471" s="2">
        <v>0.51</v>
      </c>
      <c r="G471" s="2">
        <v>13.25</v>
      </c>
      <c r="H471" s="2">
        <v>11.58</v>
      </c>
      <c r="I471" s="2">
        <v>644.28</v>
      </c>
      <c r="J471" s="2">
        <v>864.08</v>
      </c>
      <c r="K471" s="2">
        <v>765.29</v>
      </c>
      <c r="L471" s="2">
        <v>0.66</v>
      </c>
      <c r="M471" s="2">
        <v>13.88</v>
      </c>
      <c r="N471" s="3" t="s">
        <v>36</v>
      </c>
      <c r="O471" s="2">
        <v>1.64</v>
      </c>
    </row>
    <row r="472" spans="1:15" x14ac:dyDescent="0.25">
      <c r="A472" s="47">
        <v>44301</v>
      </c>
      <c r="B472" s="2">
        <v>19.22</v>
      </c>
      <c r="C472" s="2">
        <v>694.52</v>
      </c>
      <c r="D472" s="2">
        <v>1082.6099999999999</v>
      </c>
      <c r="E472" s="2">
        <v>747.46</v>
      </c>
      <c r="F472" s="2">
        <v>0.54</v>
      </c>
      <c r="G472" s="2">
        <v>14.05</v>
      </c>
      <c r="H472" s="2">
        <v>13.95</v>
      </c>
      <c r="I472" s="2">
        <v>686.17</v>
      </c>
      <c r="J472" s="2">
        <v>867.45</v>
      </c>
      <c r="K472" s="2">
        <v>880.44</v>
      </c>
      <c r="L472" s="2">
        <v>0.72</v>
      </c>
      <c r="M472" s="2">
        <v>14</v>
      </c>
      <c r="N472" s="3" t="s">
        <v>36</v>
      </c>
      <c r="O472" s="2">
        <v>1.66</v>
      </c>
    </row>
    <row r="473" spans="1:15" x14ac:dyDescent="0.25">
      <c r="A473" s="47">
        <v>44302</v>
      </c>
      <c r="B473" s="2">
        <v>15.54</v>
      </c>
      <c r="C473" s="2">
        <v>686.23</v>
      </c>
      <c r="D473" s="2">
        <v>1095.58</v>
      </c>
      <c r="E473" s="2">
        <v>769.96</v>
      </c>
      <c r="F473" s="2">
        <v>0.53</v>
      </c>
      <c r="G473" s="2">
        <v>14.03</v>
      </c>
      <c r="H473" s="2">
        <v>16</v>
      </c>
      <c r="I473" s="2">
        <v>710.38</v>
      </c>
      <c r="J473" s="2">
        <v>941.4</v>
      </c>
      <c r="K473" s="2">
        <v>887.04</v>
      </c>
      <c r="L473" s="2">
        <v>0.71</v>
      </c>
      <c r="M473" s="2">
        <v>14.19</v>
      </c>
      <c r="N473" s="3" t="s">
        <v>36</v>
      </c>
      <c r="O473" s="2">
        <v>1.66</v>
      </c>
    </row>
    <row r="474" spans="1:15" x14ac:dyDescent="0.25">
      <c r="A474" s="47">
        <v>44303</v>
      </c>
      <c r="B474" s="2">
        <v>8.5299999999999994</v>
      </c>
      <c r="C474" s="2">
        <v>703.17</v>
      </c>
      <c r="D474" s="2">
        <v>1104.32</v>
      </c>
      <c r="E474" s="2">
        <v>790.39</v>
      </c>
      <c r="F474" s="2">
        <v>0.62</v>
      </c>
      <c r="G474" s="2">
        <v>14.21</v>
      </c>
      <c r="H474" s="2">
        <v>15.98</v>
      </c>
      <c r="I474" s="2">
        <v>702.89</v>
      </c>
      <c r="J474" s="2">
        <v>917.73</v>
      </c>
      <c r="K474" s="2">
        <v>867.51</v>
      </c>
      <c r="L474" s="2">
        <v>0.74</v>
      </c>
      <c r="M474" s="2">
        <v>14.19</v>
      </c>
      <c r="N474" s="3" t="s">
        <v>36</v>
      </c>
      <c r="O474" s="2">
        <v>1.19</v>
      </c>
    </row>
    <row r="475" spans="1:15" x14ac:dyDescent="0.25">
      <c r="A475" s="47">
        <v>44304</v>
      </c>
      <c r="B475" s="2">
        <v>8.7799999999999994</v>
      </c>
      <c r="C475" s="2">
        <v>704.2</v>
      </c>
      <c r="D475" s="2">
        <v>1134.04</v>
      </c>
      <c r="E475" s="2">
        <v>759.73</v>
      </c>
      <c r="F475" s="2">
        <v>0.61</v>
      </c>
      <c r="G475" s="2">
        <v>14.37</v>
      </c>
      <c r="H475" s="2">
        <v>21.41</v>
      </c>
      <c r="I475" s="2">
        <v>606.79999999999995</v>
      </c>
      <c r="J475" s="2">
        <v>798.44</v>
      </c>
      <c r="K475" s="2">
        <v>742.58</v>
      </c>
      <c r="L475" s="2">
        <v>0.7</v>
      </c>
      <c r="M475" s="2">
        <v>13.91</v>
      </c>
      <c r="N475" s="3" t="s">
        <v>36</v>
      </c>
      <c r="O475" s="2">
        <v>1.66</v>
      </c>
    </row>
    <row r="476" spans="1:15" x14ac:dyDescent="0.25">
      <c r="A476" s="47">
        <v>44305</v>
      </c>
      <c r="B476" s="2">
        <v>8.75</v>
      </c>
      <c r="C476" s="2">
        <v>757.49</v>
      </c>
      <c r="D476" s="2">
        <v>1107.54</v>
      </c>
      <c r="E476" s="2">
        <v>766.29</v>
      </c>
      <c r="F476" s="2">
        <v>0.62</v>
      </c>
      <c r="G476" s="2">
        <v>14.33</v>
      </c>
      <c r="H476" s="2">
        <v>32.93</v>
      </c>
      <c r="I476" s="2">
        <v>741.88</v>
      </c>
      <c r="J476" s="2">
        <v>1027.6500000000001</v>
      </c>
      <c r="K476" s="2">
        <v>890.05</v>
      </c>
      <c r="L476" s="2">
        <v>0.87</v>
      </c>
      <c r="M476" s="2">
        <v>14.96</v>
      </c>
      <c r="N476" s="3" t="s">
        <v>36</v>
      </c>
      <c r="O476" s="2">
        <v>1.1399999999999999</v>
      </c>
    </row>
    <row r="477" spans="1:15" x14ac:dyDescent="0.25">
      <c r="A477" s="47">
        <v>44306</v>
      </c>
      <c r="B477" s="2">
        <v>9.6300000000000008</v>
      </c>
      <c r="C477" s="2">
        <v>718.54</v>
      </c>
      <c r="D477" s="2">
        <v>1082.8599999999999</v>
      </c>
      <c r="E477" s="2">
        <v>717.28</v>
      </c>
      <c r="F477" s="2">
        <v>0.63</v>
      </c>
      <c r="G477" s="2">
        <v>14.97</v>
      </c>
      <c r="H477" s="3" t="s">
        <v>36</v>
      </c>
      <c r="I477" s="3" t="s">
        <v>36</v>
      </c>
      <c r="J477" s="3" t="s">
        <v>36</v>
      </c>
      <c r="K477" s="3" t="s">
        <v>36</v>
      </c>
      <c r="L477" s="3" t="s">
        <v>36</v>
      </c>
      <c r="M477" s="3" t="s">
        <v>36</v>
      </c>
      <c r="N477" s="3" t="s">
        <v>36</v>
      </c>
      <c r="O477" s="2">
        <v>1.44</v>
      </c>
    </row>
    <row r="478" spans="1:15" x14ac:dyDescent="0.25">
      <c r="A478" s="47">
        <v>44307</v>
      </c>
      <c r="B478" s="2">
        <v>10.49</v>
      </c>
      <c r="C478" s="2">
        <v>740.49</v>
      </c>
      <c r="D478" s="2">
        <v>957.38</v>
      </c>
      <c r="E478" s="2">
        <v>774.21</v>
      </c>
      <c r="F478" s="2">
        <v>0.66</v>
      </c>
      <c r="G478" s="2">
        <v>15.36</v>
      </c>
      <c r="H478" s="3" t="s">
        <v>36</v>
      </c>
      <c r="I478" s="3" t="s">
        <v>36</v>
      </c>
      <c r="J478" s="3" t="s">
        <v>36</v>
      </c>
      <c r="K478" s="3" t="s">
        <v>36</v>
      </c>
      <c r="L478" s="3" t="s">
        <v>36</v>
      </c>
      <c r="M478" s="3" t="s">
        <v>36</v>
      </c>
      <c r="N478" s="3" t="s">
        <v>36</v>
      </c>
      <c r="O478" s="2">
        <v>1.58</v>
      </c>
    </row>
    <row r="479" spans="1:15" x14ac:dyDescent="0.25">
      <c r="A479" s="47">
        <v>44308</v>
      </c>
      <c r="B479" s="2">
        <v>8.26</v>
      </c>
      <c r="C479" s="2">
        <v>744.35</v>
      </c>
      <c r="D479" s="2">
        <v>937.71</v>
      </c>
      <c r="E479" s="2">
        <v>628.05999999999995</v>
      </c>
      <c r="F479" s="2">
        <v>0.56000000000000005</v>
      </c>
      <c r="G479" s="2">
        <v>14.03</v>
      </c>
      <c r="H479" s="3" t="s">
        <v>36</v>
      </c>
      <c r="I479" s="3" t="s">
        <v>36</v>
      </c>
      <c r="J479" s="3" t="s">
        <v>36</v>
      </c>
      <c r="K479" s="3" t="s">
        <v>36</v>
      </c>
      <c r="L479" s="3" t="s">
        <v>36</v>
      </c>
      <c r="M479" s="3" t="s">
        <v>36</v>
      </c>
      <c r="N479" s="3" t="s">
        <v>36</v>
      </c>
      <c r="O479" s="2">
        <v>1.57</v>
      </c>
    </row>
    <row r="480" spans="1:15" x14ac:dyDescent="0.25">
      <c r="A480" s="47">
        <v>44309</v>
      </c>
      <c r="B480" s="2">
        <v>8.2799999999999994</v>
      </c>
      <c r="C480" s="2">
        <v>709.67</v>
      </c>
      <c r="D480" s="2">
        <v>940.52</v>
      </c>
      <c r="E480" s="2">
        <v>616.05999999999995</v>
      </c>
      <c r="F480" s="2">
        <v>0.61</v>
      </c>
      <c r="G480" s="2">
        <v>14.05</v>
      </c>
      <c r="H480" s="3" t="s">
        <v>36</v>
      </c>
      <c r="I480" s="3" t="s">
        <v>36</v>
      </c>
      <c r="J480" s="3" t="s">
        <v>36</v>
      </c>
      <c r="K480" s="3" t="s">
        <v>36</v>
      </c>
      <c r="L480" s="3" t="s">
        <v>36</v>
      </c>
      <c r="M480" s="3" t="s">
        <v>36</v>
      </c>
      <c r="N480" s="3" t="s">
        <v>36</v>
      </c>
      <c r="O480" s="2">
        <v>1.6</v>
      </c>
    </row>
    <row r="481" spans="1:15" x14ac:dyDescent="0.25">
      <c r="A481" s="47">
        <v>44310</v>
      </c>
      <c r="B481" s="2">
        <v>8.44</v>
      </c>
      <c r="C481" s="2">
        <v>705.04</v>
      </c>
      <c r="D481" s="2">
        <v>936.43</v>
      </c>
      <c r="E481" s="2">
        <v>618.74</v>
      </c>
      <c r="F481" s="2">
        <v>0.52</v>
      </c>
      <c r="G481" s="2">
        <v>14.17</v>
      </c>
      <c r="H481" s="3" t="s">
        <v>36</v>
      </c>
      <c r="I481" s="3" t="s">
        <v>36</v>
      </c>
      <c r="J481" s="3" t="s">
        <v>36</v>
      </c>
      <c r="K481" s="3" t="s">
        <v>36</v>
      </c>
      <c r="L481" s="3" t="s">
        <v>36</v>
      </c>
      <c r="M481" s="3" t="s">
        <v>36</v>
      </c>
      <c r="N481" s="3" t="s">
        <v>36</v>
      </c>
      <c r="O481" s="2">
        <v>1.38</v>
      </c>
    </row>
    <row r="482" spans="1:15" x14ac:dyDescent="0.25">
      <c r="A482" s="47">
        <v>44311</v>
      </c>
      <c r="B482" s="2">
        <v>8.2899999999999991</v>
      </c>
      <c r="C482" s="2">
        <v>694.22</v>
      </c>
      <c r="D482" s="2">
        <v>944.33</v>
      </c>
      <c r="E482" s="2">
        <v>624.12</v>
      </c>
      <c r="F482" s="2">
        <v>0.59</v>
      </c>
      <c r="G482" s="2">
        <v>14.08</v>
      </c>
      <c r="H482" s="3" t="s">
        <v>36</v>
      </c>
      <c r="I482" s="3" t="s">
        <v>36</v>
      </c>
      <c r="J482" s="3" t="s">
        <v>36</v>
      </c>
      <c r="K482" s="3" t="s">
        <v>36</v>
      </c>
      <c r="L482" s="3" t="s">
        <v>36</v>
      </c>
      <c r="M482" s="3" t="s">
        <v>36</v>
      </c>
      <c r="N482" s="3" t="s">
        <v>36</v>
      </c>
      <c r="O482" s="2">
        <v>1.48</v>
      </c>
    </row>
    <row r="483" spans="1:15" x14ac:dyDescent="0.25">
      <c r="A483" s="47">
        <v>44312</v>
      </c>
      <c r="B483" s="2">
        <v>4.4000000000000004</v>
      </c>
      <c r="C483" s="2">
        <v>707.61</v>
      </c>
      <c r="D483" s="2">
        <v>997.08</v>
      </c>
      <c r="E483" s="2">
        <v>625.35</v>
      </c>
      <c r="F483" s="2">
        <v>0.65</v>
      </c>
      <c r="G483" s="2">
        <v>14.17</v>
      </c>
      <c r="H483" s="3" t="s">
        <v>36</v>
      </c>
      <c r="I483" s="3" t="s">
        <v>36</v>
      </c>
      <c r="J483" s="3" t="s">
        <v>36</v>
      </c>
      <c r="K483" s="3" t="s">
        <v>36</v>
      </c>
      <c r="L483" s="3" t="s">
        <v>36</v>
      </c>
      <c r="M483" s="3" t="s">
        <v>36</v>
      </c>
      <c r="N483" s="3" t="s">
        <v>36</v>
      </c>
      <c r="O483" s="2">
        <v>0.1</v>
      </c>
    </row>
    <row r="484" spans="1:15" x14ac:dyDescent="0.25">
      <c r="A484" s="47">
        <v>44313</v>
      </c>
      <c r="B484" s="4">
        <v>0</v>
      </c>
      <c r="C484" s="2">
        <v>724.53</v>
      </c>
      <c r="D484" s="2">
        <v>1032.17</v>
      </c>
      <c r="E484" s="2">
        <v>617.69000000000005</v>
      </c>
      <c r="F484" s="2">
        <v>0.63</v>
      </c>
      <c r="G484" s="2">
        <v>13.9</v>
      </c>
      <c r="H484" s="3" t="s">
        <v>36</v>
      </c>
      <c r="I484" s="3" t="s">
        <v>36</v>
      </c>
      <c r="J484" s="3" t="s">
        <v>36</v>
      </c>
      <c r="K484" s="3" t="s">
        <v>36</v>
      </c>
      <c r="L484" s="3" t="s">
        <v>36</v>
      </c>
      <c r="M484" s="3" t="s">
        <v>36</v>
      </c>
      <c r="N484" s="3" t="s">
        <v>36</v>
      </c>
      <c r="O484" s="2">
        <v>1.59</v>
      </c>
    </row>
    <row r="485" spans="1:15" x14ac:dyDescent="0.25">
      <c r="A485" s="47">
        <v>44314</v>
      </c>
      <c r="B485" s="4">
        <v>0</v>
      </c>
      <c r="C485" s="2">
        <v>703.49</v>
      </c>
      <c r="D485" s="2">
        <v>982.5</v>
      </c>
      <c r="E485" s="2">
        <v>590.49</v>
      </c>
      <c r="F485" s="2">
        <v>0.63</v>
      </c>
      <c r="G485" s="2">
        <v>14.1</v>
      </c>
      <c r="H485" s="3" t="s">
        <v>36</v>
      </c>
      <c r="I485" s="3" t="s">
        <v>36</v>
      </c>
      <c r="J485" s="3" t="s">
        <v>36</v>
      </c>
      <c r="K485" s="3" t="s">
        <v>36</v>
      </c>
      <c r="L485" s="3" t="s">
        <v>36</v>
      </c>
      <c r="M485" s="3" t="s">
        <v>36</v>
      </c>
      <c r="N485" s="3" t="s">
        <v>36</v>
      </c>
      <c r="O485" s="2">
        <v>1.78</v>
      </c>
    </row>
    <row r="486" spans="1:15" x14ac:dyDescent="0.25">
      <c r="A486" s="47">
        <v>44315</v>
      </c>
      <c r="B486" s="4">
        <v>0</v>
      </c>
      <c r="C486" s="2">
        <v>742.9</v>
      </c>
      <c r="D486" s="2">
        <v>985.52</v>
      </c>
      <c r="E486" s="2">
        <v>584.34</v>
      </c>
      <c r="F486" s="2">
        <v>0.6</v>
      </c>
      <c r="G486" s="2">
        <v>14.12</v>
      </c>
      <c r="H486" s="3" t="s">
        <v>36</v>
      </c>
      <c r="I486" s="3" t="s">
        <v>36</v>
      </c>
      <c r="J486" s="3" t="s">
        <v>36</v>
      </c>
      <c r="K486" s="3" t="s">
        <v>36</v>
      </c>
      <c r="L486" s="3" t="s">
        <v>36</v>
      </c>
      <c r="M486" s="3" t="s">
        <v>36</v>
      </c>
      <c r="N486" s="3" t="s">
        <v>36</v>
      </c>
      <c r="O486" s="2">
        <v>1.89</v>
      </c>
    </row>
    <row r="487" spans="1:15" x14ac:dyDescent="0.25">
      <c r="A487" s="47">
        <v>44316</v>
      </c>
      <c r="B487" s="4">
        <v>0</v>
      </c>
      <c r="C487" s="2">
        <v>738.36</v>
      </c>
      <c r="D487" s="2">
        <v>867.77</v>
      </c>
      <c r="E487" s="2">
        <v>641.59</v>
      </c>
      <c r="F487" s="2">
        <v>0.48</v>
      </c>
      <c r="G487" s="2">
        <v>14.18</v>
      </c>
      <c r="H487" s="3" t="s">
        <v>36</v>
      </c>
      <c r="I487" s="3" t="s">
        <v>36</v>
      </c>
      <c r="J487" s="3" t="s">
        <v>36</v>
      </c>
      <c r="K487" s="3" t="s">
        <v>36</v>
      </c>
      <c r="L487" s="3" t="s">
        <v>36</v>
      </c>
      <c r="M487" s="3" t="s">
        <v>36</v>
      </c>
      <c r="N487" s="3" t="s">
        <v>36</v>
      </c>
      <c r="O487" s="2">
        <v>1.53</v>
      </c>
    </row>
    <row r="488" spans="1:15" x14ac:dyDescent="0.25">
      <c r="A488" s="47">
        <v>44317</v>
      </c>
      <c r="B488" s="3" t="s">
        <v>70</v>
      </c>
      <c r="C488" s="2">
        <v>694.76</v>
      </c>
      <c r="D488" s="2">
        <v>740.34</v>
      </c>
      <c r="E488" s="2">
        <v>618.91999999999996</v>
      </c>
      <c r="F488" s="2">
        <v>0.38</v>
      </c>
      <c r="G488" s="2">
        <v>13.93</v>
      </c>
      <c r="H488" s="3" t="s">
        <v>36</v>
      </c>
      <c r="I488" s="3" t="s">
        <v>36</v>
      </c>
      <c r="J488" s="3" t="s">
        <v>36</v>
      </c>
      <c r="K488" s="3" t="s">
        <v>36</v>
      </c>
      <c r="L488" s="3" t="s">
        <v>36</v>
      </c>
      <c r="M488" s="3" t="s">
        <v>36</v>
      </c>
      <c r="N488" s="3" t="s">
        <v>36</v>
      </c>
      <c r="O488" s="2">
        <v>1.65</v>
      </c>
    </row>
    <row r="489" spans="1:15" x14ac:dyDescent="0.25">
      <c r="A489" s="47">
        <v>44318</v>
      </c>
      <c r="B489" s="3" t="s">
        <v>70</v>
      </c>
      <c r="C489" s="2">
        <v>744.33</v>
      </c>
      <c r="D489" s="2">
        <v>676.03</v>
      </c>
      <c r="E489" s="2">
        <v>638.88</v>
      </c>
      <c r="F489" s="2">
        <v>0.36</v>
      </c>
      <c r="G489" s="2">
        <v>13.98</v>
      </c>
      <c r="H489" s="3" t="s">
        <v>36</v>
      </c>
      <c r="I489" s="3" t="s">
        <v>36</v>
      </c>
      <c r="J489" s="3" t="s">
        <v>36</v>
      </c>
      <c r="K489" s="3" t="s">
        <v>36</v>
      </c>
      <c r="L489" s="3" t="s">
        <v>36</v>
      </c>
      <c r="M489" s="3" t="s">
        <v>36</v>
      </c>
      <c r="N489" s="3" t="s">
        <v>36</v>
      </c>
      <c r="O489" s="2">
        <v>1.66</v>
      </c>
    </row>
    <row r="490" spans="1:15" x14ac:dyDescent="0.25">
      <c r="A490" s="47">
        <v>44319</v>
      </c>
      <c r="B490" s="3" t="s">
        <v>70</v>
      </c>
      <c r="C490" s="2">
        <v>737.61</v>
      </c>
      <c r="D490" s="2">
        <v>537.24</v>
      </c>
      <c r="E490" s="2">
        <v>638.88</v>
      </c>
      <c r="F490" s="2">
        <v>0.35</v>
      </c>
      <c r="G490" s="2">
        <v>14.11</v>
      </c>
      <c r="H490" s="3" t="s">
        <v>36</v>
      </c>
      <c r="I490" s="3" t="s">
        <v>36</v>
      </c>
      <c r="J490" s="3" t="s">
        <v>36</v>
      </c>
      <c r="K490" s="3" t="s">
        <v>36</v>
      </c>
      <c r="L490" s="3" t="s">
        <v>36</v>
      </c>
      <c r="M490" s="3" t="s">
        <v>36</v>
      </c>
      <c r="N490" s="3" t="s">
        <v>36</v>
      </c>
      <c r="O490" s="2">
        <v>0.08</v>
      </c>
    </row>
    <row r="491" spans="1:15" x14ac:dyDescent="0.25">
      <c r="A491" s="47">
        <v>44320</v>
      </c>
      <c r="B491" s="3" t="s">
        <v>70</v>
      </c>
      <c r="C491" s="2">
        <v>706.44</v>
      </c>
      <c r="D491" s="2">
        <v>813.85</v>
      </c>
      <c r="E491" s="2">
        <v>642.49</v>
      </c>
      <c r="F491" s="2">
        <v>0.51</v>
      </c>
      <c r="G491" s="2">
        <v>13.57</v>
      </c>
      <c r="H491" s="3" t="s">
        <v>36</v>
      </c>
      <c r="I491" s="3" t="s">
        <v>36</v>
      </c>
      <c r="J491" s="3" t="s">
        <v>36</v>
      </c>
      <c r="K491" s="3" t="s">
        <v>36</v>
      </c>
      <c r="L491" s="3" t="s">
        <v>36</v>
      </c>
      <c r="M491" s="3" t="s">
        <v>36</v>
      </c>
      <c r="N491" s="3" t="s">
        <v>36</v>
      </c>
      <c r="O491" s="2">
        <v>1.19</v>
      </c>
    </row>
    <row r="492" spans="1:15" x14ac:dyDescent="0.25">
      <c r="A492" s="47">
        <v>44321</v>
      </c>
      <c r="B492" s="3" t="s">
        <v>70</v>
      </c>
      <c r="C492" s="2">
        <v>733.39</v>
      </c>
      <c r="D492" s="2">
        <v>762.89</v>
      </c>
      <c r="E492" s="2">
        <v>597.62</v>
      </c>
      <c r="F492" s="2">
        <v>0.34</v>
      </c>
      <c r="G492" s="2">
        <v>14.03</v>
      </c>
      <c r="H492" s="3" t="s">
        <v>36</v>
      </c>
      <c r="I492" s="3" t="s">
        <v>36</v>
      </c>
      <c r="J492" s="3" t="s">
        <v>36</v>
      </c>
      <c r="K492" s="3" t="s">
        <v>36</v>
      </c>
      <c r="L492" s="3" t="s">
        <v>36</v>
      </c>
      <c r="M492" s="3" t="s">
        <v>36</v>
      </c>
      <c r="N492" s="3" t="s">
        <v>36</v>
      </c>
      <c r="O492" s="2">
        <v>0.81</v>
      </c>
    </row>
    <row r="493" spans="1:15" x14ac:dyDescent="0.25">
      <c r="A493" s="47">
        <v>44322</v>
      </c>
      <c r="B493" s="3" t="s">
        <v>70</v>
      </c>
      <c r="C493" s="2">
        <v>707.27</v>
      </c>
      <c r="D493" s="2">
        <v>720.19</v>
      </c>
      <c r="E493" s="2">
        <v>598.54</v>
      </c>
      <c r="F493" s="2">
        <v>0.46</v>
      </c>
      <c r="G493" s="2">
        <v>14.27</v>
      </c>
      <c r="H493" s="3" t="s">
        <v>70</v>
      </c>
      <c r="I493" s="3" t="s">
        <v>70</v>
      </c>
      <c r="J493" s="3" t="s">
        <v>70</v>
      </c>
      <c r="K493" s="3" t="s">
        <v>70</v>
      </c>
      <c r="L493" s="3" t="s">
        <v>70</v>
      </c>
      <c r="M493" s="2">
        <v>15.28</v>
      </c>
      <c r="N493" s="3" t="s">
        <v>36</v>
      </c>
      <c r="O493" s="2">
        <v>1.49</v>
      </c>
    </row>
    <row r="494" spans="1:15" x14ac:dyDescent="0.25">
      <c r="A494" s="47">
        <v>44323</v>
      </c>
      <c r="B494" s="3" t="s">
        <v>70</v>
      </c>
      <c r="C494" s="2">
        <v>721.43</v>
      </c>
      <c r="D494" s="2">
        <v>878.87</v>
      </c>
      <c r="E494" s="2">
        <v>615.17999999999995</v>
      </c>
      <c r="F494" s="2">
        <v>0.44</v>
      </c>
      <c r="G494" s="2">
        <v>14.06</v>
      </c>
      <c r="H494" s="3" t="s">
        <v>36</v>
      </c>
      <c r="I494" s="3" t="s">
        <v>36</v>
      </c>
      <c r="J494" s="3" t="s">
        <v>36</v>
      </c>
      <c r="K494" s="3" t="s">
        <v>36</v>
      </c>
      <c r="L494" s="3" t="s">
        <v>36</v>
      </c>
      <c r="M494" s="3" t="s">
        <v>36</v>
      </c>
      <c r="N494" s="3" t="s">
        <v>36</v>
      </c>
      <c r="O494" s="2">
        <v>1.24</v>
      </c>
    </row>
    <row r="495" spans="1:15" x14ac:dyDescent="0.25">
      <c r="A495" s="47">
        <v>44324</v>
      </c>
      <c r="B495" s="3" t="s">
        <v>70</v>
      </c>
      <c r="C495" s="2">
        <v>749.4</v>
      </c>
      <c r="D495" s="2">
        <v>806.62</v>
      </c>
      <c r="E495" s="2">
        <v>648.13</v>
      </c>
      <c r="F495" s="2">
        <v>0.47</v>
      </c>
      <c r="G495" s="2">
        <v>14.38</v>
      </c>
      <c r="H495" s="3" t="s">
        <v>36</v>
      </c>
      <c r="I495" s="3" t="s">
        <v>36</v>
      </c>
      <c r="J495" s="3" t="s">
        <v>36</v>
      </c>
      <c r="K495" s="3" t="s">
        <v>36</v>
      </c>
      <c r="L495" s="3" t="s">
        <v>36</v>
      </c>
      <c r="M495" s="3" t="s">
        <v>36</v>
      </c>
      <c r="N495" s="3" t="s">
        <v>36</v>
      </c>
      <c r="O495" s="2">
        <v>1.65</v>
      </c>
    </row>
    <row r="496" spans="1:15" x14ac:dyDescent="0.25">
      <c r="A496" s="47">
        <v>44325</v>
      </c>
      <c r="B496" s="3" t="s">
        <v>70</v>
      </c>
      <c r="C496" s="2">
        <v>734.2</v>
      </c>
      <c r="D496" s="2">
        <v>886.63</v>
      </c>
      <c r="E496" s="2">
        <v>674.14</v>
      </c>
      <c r="F496" s="2">
        <v>0.41</v>
      </c>
      <c r="G496" s="2">
        <v>14.41</v>
      </c>
      <c r="H496" s="3" t="s">
        <v>36</v>
      </c>
      <c r="I496" s="3" t="s">
        <v>36</v>
      </c>
      <c r="J496" s="3" t="s">
        <v>36</v>
      </c>
      <c r="K496" s="3" t="s">
        <v>36</v>
      </c>
      <c r="L496" s="3" t="s">
        <v>36</v>
      </c>
      <c r="M496" s="3" t="s">
        <v>36</v>
      </c>
      <c r="N496" s="3" t="s">
        <v>36</v>
      </c>
      <c r="O496" s="2">
        <v>1.64</v>
      </c>
    </row>
    <row r="497" spans="1:15" x14ac:dyDescent="0.25">
      <c r="A497" s="47">
        <v>44326</v>
      </c>
      <c r="B497" s="3" t="s">
        <v>70</v>
      </c>
      <c r="C497" s="2">
        <v>761.38</v>
      </c>
      <c r="D497" s="2">
        <v>939.52</v>
      </c>
      <c r="E497" s="2">
        <v>635.73</v>
      </c>
      <c r="F497" s="2">
        <v>0.41</v>
      </c>
      <c r="G497" s="2">
        <v>14.07</v>
      </c>
      <c r="H497" s="3" t="s">
        <v>36</v>
      </c>
      <c r="I497" s="3" t="s">
        <v>36</v>
      </c>
      <c r="J497" s="3" t="s">
        <v>36</v>
      </c>
      <c r="K497" s="3" t="s">
        <v>36</v>
      </c>
      <c r="L497" s="3" t="s">
        <v>36</v>
      </c>
      <c r="M497" s="3" t="s">
        <v>36</v>
      </c>
      <c r="N497" s="3" t="s">
        <v>36</v>
      </c>
      <c r="O497" s="2">
        <v>0.1</v>
      </c>
    </row>
    <row r="498" spans="1:15" x14ac:dyDescent="0.25">
      <c r="A498" s="47">
        <v>44327</v>
      </c>
      <c r="B498" s="3" t="s">
        <v>70</v>
      </c>
      <c r="C498" s="2">
        <v>735.63</v>
      </c>
      <c r="D498" s="2">
        <v>953.34</v>
      </c>
      <c r="E498" s="2">
        <v>623.64</v>
      </c>
      <c r="F498" s="2">
        <v>0.46</v>
      </c>
      <c r="G498" s="2">
        <v>14.19</v>
      </c>
      <c r="H498" s="2">
        <v>16.34</v>
      </c>
      <c r="I498" s="2">
        <v>737.08</v>
      </c>
      <c r="J498" s="2">
        <v>612.71</v>
      </c>
      <c r="K498" s="2">
        <v>744.79</v>
      </c>
      <c r="L498" s="2">
        <v>1</v>
      </c>
      <c r="M498" s="2">
        <v>15.29</v>
      </c>
      <c r="N498" s="3" t="s">
        <v>36</v>
      </c>
      <c r="O498" s="2">
        <v>1.57</v>
      </c>
    </row>
    <row r="499" spans="1:15" x14ac:dyDescent="0.25">
      <c r="A499" s="47">
        <v>44328</v>
      </c>
      <c r="B499" s="3" t="s">
        <v>70</v>
      </c>
      <c r="C499" s="2">
        <v>753.29</v>
      </c>
      <c r="D499" s="2">
        <v>941.53</v>
      </c>
      <c r="E499" s="2">
        <v>609.15</v>
      </c>
      <c r="F499" s="2">
        <v>0.42</v>
      </c>
      <c r="G499" s="2">
        <v>14.29</v>
      </c>
      <c r="H499" s="2">
        <v>18.5</v>
      </c>
      <c r="I499" s="2">
        <v>732.82</v>
      </c>
      <c r="J499" s="2">
        <v>774.97</v>
      </c>
      <c r="K499" s="2">
        <v>816.55</v>
      </c>
      <c r="L499" s="2">
        <v>0.92</v>
      </c>
      <c r="M499" s="2">
        <v>15.45</v>
      </c>
      <c r="N499" s="3" t="s">
        <v>36</v>
      </c>
      <c r="O499" s="2">
        <v>0.1</v>
      </c>
    </row>
    <row r="500" spans="1:15" x14ac:dyDescent="0.25">
      <c r="A500" s="47">
        <v>44329</v>
      </c>
      <c r="B500" s="3" t="s">
        <v>70</v>
      </c>
      <c r="C500" s="2">
        <v>759.52</v>
      </c>
      <c r="D500" s="2">
        <v>973.64</v>
      </c>
      <c r="E500" s="2">
        <v>654.71</v>
      </c>
      <c r="F500" s="2">
        <v>0.4</v>
      </c>
      <c r="G500" s="2">
        <v>14.36</v>
      </c>
      <c r="H500" s="2">
        <v>20.59</v>
      </c>
      <c r="I500" s="2">
        <v>717.95</v>
      </c>
      <c r="J500" s="2">
        <v>649.38</v>
      </c>
      <c r="K500" s="2">
        <v>744.25</v>
      </c>
      <c r="L500" s="2">
        <v>0.95</v>
      </c>
      <c r="M500" s="2">
        <v>15.81</v>
      </c>
      <c r="N500" s="3" t="s">
        <v>36</v>
      </c>
      <c r="O500" s="2">
        <v>1.41</v>
      </c>
    </row>
    <row r="501" spans="1:15" x14ac:dyDescent="0.25">
      <c r="A501" s="47">
        <v>44330</v>
      </c>
      <c r="B501" s="3" t="s">
        <v>70</v>
      </c>
      <c r="C501" s="2">
        <v>760.45</v>
      </c>
      <c r="D501" s="2">
        <v>1000.93</v>
      </c>
      <c r="E501" s="2">
        <v>631.84</v>
      </c>
      <c r="F501" s="2">
        <v>0.38</v>
      </c>
      <c r="G501" s="2">
        <v>14.07</v>
      </c>
      <c r="H501" s="2">
        <v>24.04</v>
      </c>
      <c r="I501" s="2">
        <v>765.3</v>
      </c>
      <c r="J501" s="2">
        <v>687.54</v>
      </c>
      <c r="K501" s="2">
        <v>777.81</v>
      </c>
      <c r="L501" s="2">
        <v>0.86</v>
      </c>
      <c r="M501" s="2">
        <v>15.43</v>
      </c>
      <c r="N501" s="3" t="s">
        <v>36</v>
      </c>
      <c r="O501" s="2">
        <v>1.66</v>
      </c>
    </row>
    <row r="502" spans="1:15" x14ac:dyDescent="0.25">
      <c r="A502" s="47">
        <v>44331</v>
      </c>
      <c r="B502" s="3" t="s">
        <v>70</v>
      </c>
      <c r="C502" s="53">
        <v>895.02</v>
      </c>
      <c r="D502" s="2">
        <v>966.21</v>
      </c>
      <c r="E502" s="2">
        <v>632.04999999999995</v>
      </c>
      <c r="F502" s="2">
        <v>0.46</v>
      </c>
      <c r="G502" s="2">
        <v>14.43</v>
      </c>
      <c r="H502" s="2">
        <v>25.26</v>
      </c>
      <c r="I502" s="2">
        <v>688.57</v>
      </c>
      <c r="J502" s="2">
        <v>747.73</v>
      </c>
      <c r="K502" s="2">
        <v>662.38</v>
      </c>
      <c r="L502" s="2">
        <v>1.1499999999999999</v>
      </c>
      <c r="M502" s="2">
        <v>15</v>
      </c>
      <c r="N502" s="3" t="s">
        <v>36</v>
      </c>
      <c r="O502" s="2">
        <v>1.66</v>
      </c>
    </row>
    <row r="503" spans="1:15" x14ac:dyDescent="0.25">
      <c r="A503" s="47">
        <v>44332</v>
      </c>
      <c r="B503" s="3" t="s">
        <v>70</v>
      </c>
      <c r="C503" s="53">
        <v>850.12</v>
      </c>
      <c r="D503" s="2">
        <v>1042.23</v>
      </c>
      <c r="E503" s="2">
        <v>677.95</v>
      </c>
      <c r="F503" s="2">
        <v>0.54</v>
      </c>
      <c r="G503" s="2">
        <v>15</v>
      </c>
      <c r="H503" s="2">
        <v>21.99</v>
      </c>
      <c r="I503" s="2">
        <v>650.34</v>
      </c>
      <c r="J503" s="2">
        <v>834.84</v>
      </c>
      <c r="K503" s="2">
        <v>733.3</v>
      </c>
      <c r="L503" s="2">
        <v>0.75</v>
      </c>
      <c r="M503" s="2">
        <v>14.74</v>
      </c>
      <c r="N503" s="3" t="s">
        <v>36</v>
      </c>
      <c r="O503" s="2">
        <v>1.66</v>
      </c>
    </row>
    <row r="504" spans="1:15" x14ac:dyDescent="0.25">
      <c r="A504" s="47">
        <v>44333</v>
      </c>
      <c r="B504" s="3" t="s">
        <v>70</v>
      </c>
      <c r="C504" s="2">
        <v>757.39</v>
      </c>
      <c r="D504" s="2">
        <v>999.5</v>
      </c>
      <c r="E504" s="2">
        <v>681.36</v>
      </c>
      <c r="F504" s="2">
        <v>0.56999999999999995</v>
      </c>
      <c r="G504" s="2">
        <v>14.15</v>
      </c>
      <c r="H504" s="2">
        <v>21.91</v>
      </c>
      <c r="I504" s="2">
        <v>654.91</v>
      </c>
      <c r="J504" s="2">
        <v>747.18</v>
      </c>
      <c r="K504" s="2">
        <v>751.02</v>
      </c>
      <c r="L504" s="2">
        <v>0.84</v>
      </c>
      <c r="M504" s="2">
        <v>15.08</v>
      </c>
      <c r="N504" s="3" t="s">
        <v>36</v>
      </c>
      <c r="O504" s="2">
        <v>1.66</v>
      </c>
    </row>
    <row r="505" spans="1:15" x14ac:dyDescent="0.25">
      <c r="A505" s="47">
        <v>44334</v>
      </c>
      <c r="B505" s="3" t="s">
        <v>70</v>
      </c>
      <c r="C505" s="2">
        <v>746.49</v>
      </c>
      <c r="D505" s="2">
        <v>1007.99</v>
      </c>
      <c r="E505" s="2">
        <v>660.16</v>
      </c>
      <c r="F505" s="2">
        <v>0.91</v>
      </c>
      <c r="G505" s="2">
        <v>13.74</v>
      </c>
      <c r="H505" s="2">
        <v>21.37</v>
      </c>
      <c r="I505" s="2">
        <v>643.22</v>
      </c>
      <c r="J505" s="2">
        <v>873.93</v>
      </c>
      <c r="K505" s="2">
        <v>672.59</v>
      </c>
      <c r="L505" s="2">
        <v>0.81</v>
      </c>
      <c r="M505" s="2">
        <v>14.7</v>
      </c>
      <c r="N505" s="3" t="s">
        <v>36</v>
      </c>
      <c r="O505" s="2">
        <v>1.19</v>
      </c>
    </row>
    <row r="506" spans="1:15" x14ac:dyDescent="0.25">
      <c r="A506" s="47">
        <v>44335</v>
      </c>
      <c r="B506" s="3" t="s">
        <v>70</v>
      </c>
      <c r="C506" s="2">
        <v>733.33</v>
      </c>
      <c r="D506" s="2">
        <v>997.52</v>
      </c>
      <c r="E506" s="2">
        <v>671.97</v>
      </c>
      <c r="F506" s="2">
        <v>1.08</v>
      </c>
      <c r="G506" s="2">
        <v>14.29</v>
      </c>
      <c r="H506" s="2">
        <v>17.75</v>
      </c>
      <c r="I506" s="2">
        <v>643.20000000000005</v>
      </c>
      <c r="J506" s="2">
        <v>911.95</v>
      </c>
      <c r="K506" s="2">
        <v>641.53</v>
      </c>
      <c r="L506" s="2">
        <v>0.52</v>
      </c>
      <c r="M506" s="2">
        <v>14.38</v>
      </c>
      <c r="N506" s="3" t="s">
        <v>36</v>
      </c>
      <c r="O506" s="2">
        <v>1.24</v>
      </c>
    </row>
    <row r="507" spans="1:15" x14ac:dyDescent="0.25">
      <c r="A507" s="47">
        <v>44336</v>
      </c>
      <c r="B507" s="3" t="s">
        <v>70</v>
      </c>
      <c r="C507" s="2">
        <v>734.23</v>
      </c>
      <c r="D507" s="2">
        <v>976.13</v>
      </c>
      <c r="E507" s="2">
        <v>678.71</v>
      </c>
      <c r="F507" s="2">
        <v>1.07</v>
      </c>
      <c r="G507" s="2">
        <v>14.2</v>
      </c>
      <c r="H507" s="2">
        <v>16.600000000000001</v>
      </c>
      <c r="I507" s="2">
        <v>741.82</v>
      </c>
      <c r="J507" s="2">
        <v>922.52</v>
      </c>
      <c r="K507" s="2">
        <v>732.12</v>
      </c>
      <c r="L507" s="2">
        <v>0.69</v>
      </c>
      <c r="M507" s="2">
        <v>14.26</v>
      </c>
      <c r="N507" s="3" t="s">
        <v>36</v>
      </c>
      <c r="O507" s="2">
        <v>1.66</v>
      </c>
    </row>
    <row r="508" spans="1:15" x14ac:dyDescent="0.25">
      <c r="A508" s="47">
        <v>44337</v>
      </c>
      <c r="B508" s="3" t="s">
        <v>70</v>
      </c>
      <c r="C508" s="2">
        <v>759.37</v>
      </c>
      <c r="D508" s="2">
        <v>1026.67</v>
      </c>
      <c r="E508" s="2">
        <v>682.85</v>
      </c>
      <c r="F508" s="2">
        <v>1.05</v>
      </c>
      <c r="G508" s="2">
        <v>14.03</v>
      </c>
      <c r="H508" s="2">
        <v>14.22</v>
      </c>
      <c r="I508" s="2">
        <v>745.87</v>
      </c>
      <c r="J508" s="2">
        <v>891.62</v>
      </c>
      <c r="K508" s="2">
        <v>676.72</v>
      </c>
      <c r="L508" s="2">
        <v>0.6</v>
      </c>
      <c r="M508" s="2">
        <v>14.45</v>
      </c>
      <c r="N508" s="3" t="s">
        <v>36</v>
      </c>
      <c r="O508" s="3" t="s">
        <v>36</v>
      </c>
    </row>
    <row r="509" spans="1:15" x14ac:dyDescent="0.25">
      <c r="A509" s="47">
        <v>44338</v>
      </c>
      <c r="B509" s="3" t="s">
        <v>70</v>
      </c>
      <c r="C509" s="2">
        <v>784.77</v>
      </c>
      <c r="D509" s="2">
        <v>1091.57</v>
      </c>
      <c r="E509" s="2">
        <v>728.61</v>
      </c>
      <c r="F509" s="2">
        <v>0.98</v>
      </c>
      <c r="G509" s="2">
        <v>13.63</v>
      </c>
      <c r="H509" s="2">
        <v>17.13</v>
      </c>
      <c r="I509" s="2">
        <v>713.68</v>
      </c>
      <c r="J509" s="2">
        <v>924</v>
      </c>
      <c r="K509" s="2">
        <v>687.83</v>
      </c>
      <c r="L509" s="2">
        <v>0.64</v>
      </c>
      <c r="M509" s="2">
        <v>14.01</v>
      </c>
      <c r="N509" s="3" t="s">
        <v>36</v>
      </c>
      <c r="O509" s="2">
        <v>0.44</v>
      </c>
    </row>
    <row r="510" spans="1:15" x14ac:dyDescent="0.25">
      <c r="A510" s="47">
        <v>44339</v>
      </c>
      <c r="B510" s="3" t="s">
        <v>70</v>
      </c>
      <c r="C510" s="2">
        <v>746.66</v>
      </c>
      <c r="D510" s="2">
        <v>1039.17</v>
      </c>
      <c r="E510" s="2">
        <v>701.16</v>
      </c>
      <c r="F510" s="2">
        <v>1</v>
      </c>
      <c r="G510" s="2">
        <v>14.16</v>
      </c>
      <c r="H510" s="2">
        <v>13.93</v>
      </c>
      <c r="I510" s="2">
        <v>686.24</v>
      </c>
      <c r="J510" s="2">
        <v>863.84</v>
      </c>
      <c r="K510" s="2">
        <v>607.80999999999995</v>
      </c>
      <c r="L510" s="2">
        <v>0.65</v>
      </c>
      <c r="M510" s="2">
        <v>13.93</v>
      </c>
      <c r="N510" s="3" t="s">
        <v>36</v>
      </c>
      <c r="O510" s="2">
        <v>1.65</v>
      </c>
    </row>
    <row r="511" spans="1:15" x14ac:dyDescent="0.25">
      <c r="A511" s="47">
        <v>44340</v>
      </c>
      <c r="B511" s="3" t="s">
        <v>70</v>
      </c>
      <c r="C511" s="2">
        <v>759.59</v>
      </c>
      <c r="D511" s="2">
        <v>1030.9000000000001</v>
      </c>
      <c r="E511" s="2">
        <v>728.69</v>
      </c>
      <c r="F511" s="2">
        <v>0.31</v>
      </c>
      <c r="G511" s="2">
        <v>14.21</v>
      </c>
      <c r="H511" s="2">
        <v>16.010000000000002</v>
      </c>
      <c r="I511" s="2">
        <v>715.3</v>
      </c>
      <c r="J511" s="2">
        <v>900.47</v>
      </c>
      <c r="K511" s="2">
        <v>671.27</v>
      </c>
      <c r="L511" s="2">
        <v>0.63</v>
      </c>
      <c r="M511" s="2">
        <v>13.73</v>
      </c>
      <c r="N511" s="3" t="s">
        <v>36</v>
      </c>
      <c r="O511" s="2">
        <v>1.31</v>
      </c>
    </row>
    <row r="512" spans="1:15" x14ac:dyDescent="0.25">
      <c r="A512" s="47">
        <v>44341</v>
      </c>
      <c r="B512" s="3" t="s">
        <v>70</v>
      </c>
      <c r="C512" s="2">
        <v>756.44</v>
      </c>
      <c r="D512" s="2">
        <v>1061.7</v>
      </c>
      <c r="E512" s="2">
        <v>837.02</v>
      </c>
      <c r="F512" s="2">
        <v>0.41</v>
      </c>
      <c r="G512" s="2">
        <v>14.96</v>
      </c>
      <c r="H512" s="2">
        <v>18.82</v>
      </c>
      <c r="I512" s="2">
        <v>719.68</v>
      </c>
      <c r="J512" s="2">
        <v>978.15</v>
      </c>
      <c r="K512" s="2">
        <v>720.36</v>
      </c>
      <c r="L512" s="2">
        <v>0.7</v>
      </c>
      <c r="M512" s="2">
        <v>13.94</v>
      </c>
      <c r="N512" s="3" t="s">
        <v>36</v>
      </c>
      <c r="O512" s="2">
        <v>1.65</v>
      </c>
    </row>
    <row r="513" spans="1:15" x14ac:dyDescent="0.25">
      <c r="A513" s="47">
        <v>44342</v>
      </c>
      <c r="B513" s="3" t="s">
        <v>70</v>
      </c>
      <c r="C513" s="2">
        <v>775.15</v>
      </c>
      <c r="D513" s="2">
        <v>1010.2</v>
      </c>
      <c r="E513" s="2">
        <v>737.15</v>
      </c>
      <c r="F513" s="2">
        <v>0.96</v>
      </c>
      <c r="G513" s="2">
        <v>13.9</v>
      </c>
      <c r="H513" s="2">
        <v>20.85</v>
      </c>
      <c r="I513" s="2">
        <v>742.6</v>
      </c>
      <c r="J513" s="2">
        <v>929.14</v>
      </c>
      <c r="K513" s="2">
        <v>787.87</v>
      </c>
      <c r="L513" s="2">
        <v>0.76</v>
      </c>
      <c r="M513" s="2">
        <v>14.8</v>
      </c>
      <c r="N513" s="3" t="s">
        <v>36</v>
      </c>
      <c r="O513" s="2">
        <v>1.07</v>
      </c>
    </row>
    <row r="514" spans="1:15" x14ac:dyDescent="0.25">
      <c r="A514" s="47">
        <v>44343</v>
      </c>
      <c r="B514" s="3" t="s">
        <v>70</v>
      </c>
      <c r="C514" s="2">
        <v>756.79</v>
      </c>
      <c r="D514" s="2">
        <v>991.76</v>
      </c>
      <c r="E514" s="2">
        <v>673.8</v>
      </c>
      <c r="F514" s="2">
        <v>0.4</v>
      </c>
      <c r="G514" s="2">
        <v>13.78</v>
      </c>
      <c r="H514" s="2">
        <v>25.32</v>
      </c>
      <c r="I514" s="2">
        <v>687.95</v>
      </c>
      <c r="J514" s="2">
        <v>1167.6600000000001</v>
      </c>
      <c r="K514" s="2">
        <v>705.73</v>
      </c>
      <c r="L514" s="2">
        <v>0.85</v>
      </c>
      <c r="M514" s="2">
        <v>14.86</v>
      </c>
      <c r="N514" s="3" t="s">
        <v>36</v>
      </c>
      <c r="O514" s="2">
        <v>1.65</v>
      </c>
    </row>
    <row r="515" spans="1:15" x14ac:dyDescent="0.25">
      <c r="A515" s="47">
        <v>44344</v>
      </c>
      <c r="B515" s="3" t="s">
        <v>70</v>
      </c>
      <c r="C515" s="2">
        <v>760.59</v>
      </c>
      <c r="D515" s="2">
        <v>967.53</v>
      </c>
      <c r="E515" s="2">
        <v>689.5</v>
      </c>
      <c r="F515" s="2">
        <v>0.84</v>
      </c>
      <c r="G515" s="2">
        <v>14.02</v>
      </c>
      <c r="H515" s="2">
        <v>19.170000000000002</v>
      </c>
      <c r="I515" s="2">
        <v>696.4</v>
      </c>
      <c r="J515" s="2">
        <v>1181.6199999999999</v>
      </c>
      <c r="K515" s="2">
        <v>714.35</v>
      </c>
      <c r="L515" s="2">
        <v>0.8</v>
      </c>
      <c r="M515" s="2">
        <v>14.9</v>
      </c>
      <c r="N515" s="3" t="s">
        <v>36</v>
      </c>
      <c r="O515" s="2">
        <v>1.65</v>
      </c>
    </row>
    <row r="516" spans="1:15" x14ac:dyDescent="0.25">
      <c r="A516" s="47">
        <v>44345</v>
      </c>
      <c r="B516" s="3" t="s">
        <v>70</v>
      </c>
      <c r="C516" s="2">
        <v>753.17</v>
      </c>
      <c r="D516" s="2">
        <v>948.35</v>
      </c>
      <c r="E516" s="2">
        <v>706.37</v>
      </c>
      <c r="F516" s="2">
        <v>1</v>
      </c>
      <c r="G516" s="2">
        <v>14.14</v>
      </c>
      <c r="H516" s="2">
        <v>19.59</v>
      </c>
      <c r="I516" s="2">
        <v>696.75</v>
      </c>
      <c r="J516" s="2">
        <v>1182.5</v>
      </c>
      <c r="K516" s="2">
        <v>714.53</v>
      </c>
      <c r="L516" s="2">
        <v>0.81</v>
      </c>
      <c r="M516" s="2">
        <v>14.87</v>
      </c>
      <c r="N516" s="3" t="s">
        <v>36</v>
      </c>
      <c r="O516" s="2">
        <v>1.4</v>
      </c>
    </row>
    <row r="517" spans="1:15" x14ac:dyDescent="0.25">
      <c r="A517" s="47">
        <v>44346</v>
      </c>
      <c r="B517" s="3" t="s">
        <v>36</v>
      </c>
      <c r="C517" s="3" t="s">
        <v>36</v>
      </c>
      <c r="D517" s="3" t="s">
        <v>36</v>
      </c>
      <c r="E517" s="3" t="s">
        <v>36</v>
      </c>
      <c r="F517" s="3" t="s">
        <v>36</v>
      </c>
      <c r="G517" s="3" t="s">
        <v>36</v>
      </c>
      <c r="H517" s="2">
        <v>23.19</v>
      </c>
      <c r="I517" s="2">
        <v>739.99</v>
      </c>
      <c r="J517" s="2">
        <v>1261.55</v>
      </c>
      <c r="K517" s="2">
        <v>762.73</v>
      </c>
      <c r="L517" s="2">
        <v>0.92</v>
      </c>
      <c r="M517" s="2">
        <v>15.28</v>
      </c>
      <c r="N517" s="3" t="s">
        <v>36</v>
      </c>
      <c r="O517" s="2">
        <v>1.57</v>
      </c>
    </row>
    <row r="518" spans="1:15" x14ac:dyDescent="0.25">
      <c r="A518" s="47">
        <v>44347</v>
      </c>
      <c r="B518" s="3" t="s">
        <v>36</v>
      </c>
      <c r="C518" s="3" t="s">
        <v>36</v>
      </c>
      <c r="D518" s="3" t="s">
        <v>36</v>
      </c>
      <c r="E518" s="3" t="s">
        <v>36</v>
      </c>
      <c r="F518" s="3" t="s">
        <v>36</v>
      </c>
      <c r="G518" s="3" t="s">
        <v>36</v>
      </c>
      <c r="H518" s="2">
        <v>23.23</v>
      </c>
      <c r="I518" s="2">
        <v>691.03</v>
      </c>
      <c r="J518" s="2">
        <v>1067.9100000000001</v>
      </c>
      <c r="K518" s="2">
        <v>784.09</v>
      </c>
      <c r="L518" s="2">
        <v>0.83</v>
      </c>
      <c r="M518" s="2">
        <v>14.75</v>
      </c>
      <c r="N518" s="3" t="s">
        <v>36</v>
      </c>
      <c r="O518" s="2">
        <v>1.65</v>
      </c>
    </row>
    <row r="519" spans="1:15" x14ac:dyDescent="0.25">
      <c r="A519" s="47">
        <v>44348</v>
      </c>
      <c r="B519" s="3" t="s">
        <v>36</v>
      </c>
      <c r="C519" s="3" t="s">
        <v>36</v>
      </c>
      <c r="D519" s="3" t="s">
        <v>36</v>
      </c>
      <c r="E519" s="3" t="s">
        <v>36</v>
      </c>
      <c r="F519" s="3" t="s">
        <v>36</v>
      </c>
      <c r="G519" s="3" t="s">
        <v>36</v>
      </c>
      <c r="H519" s="2">
        <v>21.12</v>
      </c>
      <c r="I519" s="2">
        <v>633.27</v>
      </c>
      <c r="J519" s="2">
        <v>885.61</v>
      </c>
      <c r="K519" s="2">
        <v>797.17</v>
      </c>
      <c r="L519" s="2">
        <v>0.76</v>
      </c>
      <c r="M519" s="2">
        <v>14.51</v>
      </c>
      <c r="N519" s="3" t="s">
        <v>36</v>
      </c>
      <c r="O519" s="2">
        <v>1.4</v>
      </c>
    </row>
    <row r="520" spans="1:15" x14ac:dyDescent="0.25">
      <c r="A520" s="47">
        <v>44349</v>
      </c>
      <c r="B520" s="3" t="s">
        <v>36</v>
      </c>
      <c r="C520" s="3" t="s">
        <v>36</v>
      </c>
      <c r="D520" s="3" t="s">
        <v>36</v>
      </c>
      <c r="E520" s="3" t="s">
        <v>36</v>
      </c>
      <c r="F520" s="3" t="s">
        <v>36</v>
      </c>
      <c r="G520" s="3" t="s">
        <v>36</v>
      </c>
      <c r="H520" s="2">
        <v>26.3</v>
      </c>
      <c r="I520" s="2">
        <v>586.47</v>
      </c>
      <c r="J520" s="2">
        <v>916.83</v>
      </c>
      <c r="K520" s="2">
        <v>804.26</v>
      </c>
      <c r="L520" s="2">
        <v>0.7</v>
      </c>
      <c r="M520" s="2">
        <v>14.44</v>
      </c>
      <c r="N520" s="3" t="s">
        <v>36</v>
      </c>
      <c r="O520" s="2">
        <v>1.44</v>
      </c>
    </row>
    <row r="521" spans="1:15" x14ac:dyDescent="0.25">
      <c r="A521" s="47">
        <v>44350</v>
      </c>
      <c r="B521" s="3" t="s">
        <v>36</v>
      </c>
      <c r="C521" s="3" t="s">
        <v>36</v>
      </c>
      <c r="D521" s="3" t="s">
        <v>36</v>
      </c>
      <c r="E521" s="3" t="s">
        <v>36</v>
      </c>
      <c r="F521" s="3" t="s">
        <v>36</v>
      </c>
      <c r="G521" s="3" t="s">
        <v>36</v>
      </c>
      <c r="H521" s="2">
        <v>13.62</v>
      </c>
      <c r="I521" s="2">
        <v>528.21</v>
      </c>
      <c r="J521" s="2">
        <v>683.46</v>
      </c>
      <c r="K521" s="2">
        <v>603.79</v>
      </c>
      <c r="L521" s="2">
        <v>0.43</v>
      </c>
      <c r="M521" s="2">
        <v>13.07</v>
      </c>
      <c r="N521" s="3" t="s">
        <v>36</v>
      </c>
      <c r="O521" s="2">
        <v>1.65</v>
      </c>
    </row>
    <row r="522" spans="1:15" x14ac:dyDescent="0.25">
      <c r="A522" s="47">
        <v>44351</v>
      </c>
      <c r="B522" s="3" t="s">
        <v>36</v>
      </c>
      <c r="C522" s="3" t="s">
        <v>36</v>
      </c>
      <c r="D522" s="3" t="s">
        <v>36</v>
      </c>
      <c r="E522" s="3" t="s">
        <v>36</v>
      </c>
      <c r="F522" s="3" t="s">
        <v>36</v>
      </c>
      <c r="G522" s="3" t="s">
        <v>36</v>
      </c>
      <c r="H522" s="2">
        <v>19.600000000000001</v>
      </c>
      <c r="I522" s="2">
        <v>600.36</v>
      </c>
      <c r="J522" s="2">
        <v>804.77</v>
      </c>
      <c r="K522" s="2">
        <v>656.68</v>
      </c>
      <c r="L522" s="2">
        <v>0.52</v>
      </c>
      <c r="M522" s="2">
        <v>13.4</v>
      </c>
      <c r="N522" s="3" t="s">
        <v>36</v>
      </c>
      <c r="O522" s="2">
        <v>1.64</v>
      </c>
    </row>
    <row r="523" spans="1:15" x14ac:dyDescent="0.25">
      <c r="A523" s="47">
        <v>44352</v>
      </c>
      <c r="B523" s="3" t="s">
        <v>36</v>
      </c>
      <c r="C523" s="3" t="s">
        <v>36</v>
      </c>
      <c r="D523" s="3" t="s">
        <v>36</v>
      </c>
      <c r="E523" s="3" t="s">
        <v>36</v>
      </c>
      <c r="F523" s="3" t="s">
        <v>36</v>
      </c>
      <c r="G523" s="3" t="s">
        <v>36</v>
      </c>
      <c r="H523" s="2">
        <v>22.2</v>
      </c>
      <c r="I523" s="2">
        <v>607.36</v>
      </c>
      <c r="J523" s="2">
        <v>820.99</v>
      </c>
      <c r="K523" s="2">
        <v>673.48</v>
      </c>
      <c r="L523" s="2">
        <v>0.63</v>
      </c>
      <c r="M523" s="2">
        <v>13.2</v>
      </c>
      <c r="N523" s="3" t="s">
        <v>36</v>
      </c>
      <c r="O523" s="3" t="s">
        <v>36</v>
      </c>
    </row>
    <row r="524" spans="1:15" x14ac:dyDescent="0.25">
      <c r="A524" s="47">
        <v>44353</v>
      </c>
      <c r="B524" s="3" t="s">
        <v>36</v>
      </c>
      <c r="C524" s="3" t="s">
        <v>36</v>
      </c>
      <c r="D524" s="3" t="s">
        <v>36</v>
      </c>
      <c r="E524" s="3" t="s">
        <v>36</v>
      </c>
      <c r="F524" s="3" t="s">
        <v>36</v>
      </c>
      <c r="G524" s="3" t="s">
        <v>36</v>
      </c>
      <c r="H524" s="2">
        <v>23.3</v>
      </c>
      <c r="I524" s="2">
        <v>613.34</v>
      </c>
      <c r="J524" s="2">
        <v>761.12</v>
      </c>
      <c r="K524" s="2">
        <v>638.66</v>
      </c>
      <c r="L524" s="2">
        <v>0.61</v>
      </c>
      <c r="M524" s="2">
        <v>13.18</v>
      </c>
      <c r="N524" s="3" t="s">
        <v>36</v>
      </c>
      <c r="O524" s="2">
        <v>1.32</v>
      </c>
    </row>
    <row r="525" spans="1:15" x14ac:dyDescent="0.25">
      <c r="A525" s="47">
        <v>44354</v>
      </c>
      <c r="B525" s="3" t="s">
        <v>36</v>
      </c>
      <c r="C525" s="3" t="s">
        <v>36</v>
      </c>
      <c r="D525" s="3" t="s">
        <v>36</v>
      </c>
      <c r="E525" s="3" t="s">
        <v>36</v>
      </c>
      <c r="F525" s="3" t="s">
        <v>36</v>
      </c>
      <c r="G525" s="3" t="s">
        <v>36</v>
      </c>
      <c r="H525" s="2">
        <v>22.43</v>
      </c>
      <c r="I525" s="2">
        <v>525.46</v>
      </c>
      <c r="J525" s="2">
        <v>706.2</v>
      </c>
      <c r="K525" s="2">
        <v>656.51</v>
      </c>
      <c r="L525" s="2">
        <v>0.55000000000000004</v>
      </c>
      <c r="M525" s="2">
        <v>12.96</v>
      </c>
      <c r="N525" s="3" t="s">
        <v>36</v>
      </c>
      <c r="O525" s="2">
        <v>1.66</v>
      </c>
    </row>
    <row r="526" spans="1:15" x14ac:dyDescent="0.25">
      <c r="A526" s="47">
        <v>44355</v>
      </c>
      <c r="B526" s="3" t="s">
        <v>36</v>
      </c>
      <c r="C526" s="3" t="s">
        <v>36</v>
      </c>
      <c r="D526" s="3" t="s">
        <v>36</v>
      </c>
      <c r="E526" s="3" t="s">
        <v>36</v>
      </c>
      <c r="F526" s="3" t="s">
        <v>36</v>
      </c>
      <c r="G526" s="3" t="s">
        <v>36</v>
      </c>
      <c r="H526" s="2">
        <v>28.08</v>
      </c>
      <c r="I526" s="2">
        <v>640.77</v>
      </c>
      <c r="J526" s="2">
        <v>799.54</v>
      </c>
      <c r="K526" s="2">
        <v>651.30999999999995</v>
      </c>
      <c r="L526" s="2">
        <v>0.6</v>
      </c>
      <c r="M526" s="2">
        <v>12.65</v>
      </c>
      <c r="N526" s="3" t="s">
        <v>36</v>
      </c>
      <c r="O526" s="2">
        <v>1.66</v>
      </c>
    </row>
    <row r="527" spans="1:15" x14ac:dyDescent="0.25">
      <c r="A527" s="47">
        <v>44356</v>
      </c>
      <c r="B527" s="3" t="s">
        <v>36</v>
      </c>
      <c r="C527" s="3" t="s">
        <v>36</v>
      </c>
      <c r="D527" s="3" t="s">
        <v>36</v>
      </c>
      <c r="E527" s="3" t="s">
        <v>36</v>
      </c>
      <c r="F527" s="3" t="s">
        <v>36</v>
      </c>
      <c r="G527" s="3" t="s">
        <v>36</v>
      </c>
      <c r="H527" s="2">
        <v>26.84</v>
      </c>
      <c r="I527" s="2">
        <v>656.37</v>
      </c>
      <c r="J527" s="2">
        <v>773.15</v>
      </c>
      <c r="K527" s="2">
        <v>741.88</v>
      </c>
      <c r="L527" s="2">
        <v>0.76</v>
      </c>
      <c r="M527" s="2">
        <v>13.55</v>
      </c>
      <c r="N527" s="3" t="s">
        <v>36</v>
      </c>
      <c r="O527" s="2">
        <v>1.66</v>
      </c>
    </row>
    <row r="528" spans="1:15" x14ac:dyDescent="0.25">
      <c r="A528" s="47">
        <v>44357</v>
      </c>
      <c r="B528" s="3" t="s">
        <v>36</v>
      </c>
      <c r="C528" s="3" t="s">
        <v>36</v>
      </c>
      <c r="D528" s="3" t="s">
        <v>36</v>
      </c>
      <c r="E528" s="3" t="s">
        <v>36</v>
      </c>
      <c r="F528" s="3" t="s">
        <v>36</v>
      </c>
      <c r="G528" s="3" t="s">
        <v>36</v>
      </c>
      <c r="H528" s="2">
        <v>22.27</v>
      </c>
      <c r="I528" s="2">
        <v>720.25</v>
      </c>
      <c r="J528" s="2">
        <v>812.2</v>
      </c>
      <c r="K528" s="2">
        <v>849.71</v>
      </c>
      <c r="L528" s="2">
        <v>0.78</v>
      </c>
      <c r="M528" s="2">
        <v>14.54</v>
      </c>
      <c r="N528" s="3" t="s">
        <v>36</v>
      </c>
      <c r="O528" s="2">
        <v>1.66</v>
      </c>
    </row>
    <row r="529" spans="1:15" x14ac:dyDescent="0.25">
      <c r="A529" s="47">
        <v>44358</v>
      </c>
      <c r="B529" s="3" t="s">
        <v>36</v>
      </c>
      <c r="C529" s="3" t="s">
        <v>36</v>
      </c>
      <c r="D529" s="3" t="s">
        <v>36</v>
      </c>
      <c r="E529" s="3" t="s">
        <v>36</v>
      </c>
      <c r="F529" s="3" t="s">
        <v>36</v>
      </c>
      <c r="G529" s="3" t="s">
        <v>36</v>
      </c>
      <c r="H529" s="2">
        <v>25.44</v>
      </c>
      <c r="I529" s="2">
        <v>675.23</v>
      </c>
      <c r="J529" s="2">
        <v>933.88</v>
      </c>
      <c r="K529" s="2">
        <v>934.46</v>
      </c>
      <c r="L529" s="2">
        <v>0.78</v>
      </c>
      <c r="M529" s="2">
        <v>14.48</v>
      </c>
      <c r="N529" s="3" t="s">
        <v>36</v>
      </c>
      <c r="O529" s="2">
        <v>1.66</v>
      </c>
    </row>
    <row r="530" spans="1:15" x14ac:dyDescent="0.25">
      <c r="A530" s="47">
        <v>44359</v>
      </c>
      <c r="B530" s="3" t="s">
        <v>36</v>
      </c>
      <c r="C530" s="3" t="s">
        <v>36</v>
      </c>
      <c r="D530" s="3" t="s">
        <v>36</v>
      </c>
      <c r="E530" s="3" t="s">
        <v>36</v>
      </c>
      <c r="F530" s="3" t="s">
        <v>36</v>
      </c>
      <c r="G530" s="3" t="s">
        <v>36</v>
      </c>
      <c r="H530" s="2">
        <v>18.29</v>
      </c>
      <c r="I530" s="2">
        <v>734.9</v>
      </c>
      <c r="J530" s="2">
        <v>909.11</v>
      </c>
      <c r="K530" s="2">
        <v>830.51</v>
      </c>
      <c r="L530" s="2">
        <v>0.75</v>
      </c>
      <c r="M530" s="2">
        <v>14.76</v>
      </c>
      <c r="N530" s="3" t="s">
        <v>36</v>
      </c>
      <c r="O530" s="2">
        <v>1.48</v>
      </c>
    </row>
    <row r="531" spans="1:15" x14ac:dyDescent="0.25">
      <c r="A531" s="47">
        <v>44360</v>
      </c>
      <c r="B531" s="3" t="s">
        <v>36</v>
      </c>
      <c r="C531" s="3" t="s">
        <v>36</v>
      </c>
      <c r="D531" s="3" t="s">
        <v>36</v>
      </c>
      <c r="E531" s="3" t="s">
        <v>36</v>
      </c>
      <c r="F531" s="3" t="s">
        <v>36</v>
      </c>
      <c r="G531" s="3" t="s">
        <v>36</v>
      </c>
      <c r="H531" s="2">
        <v>13.31</v>
      </c>
      <c r="I531" s="2">
        <v>714.49</v>
      </c>
      <c r="J531" s="2">
        <v>856.97</v>
      </c>
      <c r="K531" s="2">
        <v>727.88</v>
      </c>
      <c r="L531" s="2">
        <v>0.74</v>
      </c>
      <c r="M531" s="2">
        <v>14.88</v>
      </c>
      <c r="N531" s="3" t="s">
        <v>36</v>
      </c>
      <c r="O531" s="2">
        <v>1.66</v>
      </c>
    </row>
    <row r="532" spans="1:15" x14ac:dyDescent="0.25">
      <c r="A532" s="47">
        <v>44361</v>
      </c>
      <c r="B532" s="3" t="s">
        <v>36</v>
      </c>
      <c r="C532" s="3" t="s">
        <v>36</v>
      </c>
      <c r="D532" s="3" t="s">
        <v>36</v>
      </c>
      <c r="E532" s="3" t="s">
        <v>36</v>
      </c>
      <c r="F532" s="3" t="s">
        <v>36</v>
      </c>
      <c r="G532" s="3" t="s">
        <v>36</v>
      </c>
      <c r="H532" s="2">
        <v>17.260000000000002</v>
      </c>
      <c r="I532" s="2">
        <v>759.32</v>
      </c>
      <c r="J532" s="2">
        <v>864.69</v>
      </c>
      <c r="K532" s="2">
        <v>857.2</v>
      </c>
      <c r="L532" s="2">
        <v>0.83</v>
      </c>
      <c r="M532" s="2">
        <v>15.78</v>
      </c>
      <c r="N532" s="3" t="s">
        <v>36</v>
      </c>
      <c r="O532" s="3" t="s">
        <v>36</v>
      </c>
    </row>
    <row r="533" spans="1:15" x14ac:dyDescent="0.25">
      <c r="A533" s="47">
        <v>44362</v>
      </c>
      <c r="B533" s="3" t="s">
        <v>36</v>
      </c>
      <c r="C533" s="3" t="s">
        <v>36</v>
      </c>
      <c r="D533" s="3" t="s">
        <v>36</v>
      </c>
      <c r="E533" s="3" t="s">
        <v>36</v>
      </c>
      <c r="F533" s="3" t="s">
        <v>36</v>
      </c>
      <c r="G533" s="3" t="s">
        <v>36</v>
      </c>
      <c r="H533" s="2">
        <v>18.27</v>
      </c>
      <c r="I533" s="2">
        <v>735.53</v>
      </c>
      <c r="J533" s="2">
        <v>900.56</v>
      </c>
      <c r="K533" s="2">
        <v>808.92</v>
      </c>
      <c r="L533" s="2">
        <v>0.88</v>
      </c>
      <c r="M533" s="2">
        <v>15.73</v>
      </c>
      <c r="N533" s="3" t="s">
        <v>36</v>
      </c>
      <c r="O533" s="2">
        <v>1.3</v>
      </c>
    </row>
    <row r="534" spans="1:15" x14ac:dyDescent="0.25">
      <c r="A534" s="47">
        <v>44363</v>
      </c>
      <c r="B534" s="3" t="s">
        <v>36</v>
      </c>
      <c r="C534" s="3" t="s">
        <v>36</v>
      </c>
      <c r="D534" s="3" t="s">
        <v>36</v>
      </c>
      <c r="E534" s="3" t="s">
        <v>36</v>
      </c>
      <c r="F534" s="3" t="s">
        <v>36</v>
      </c>
      <c r="G534" s="3" t="s">
        <v>36</v>
      </c>
      <c r="H534" s="2">
        <v>19.8</v>
      </c>
      <c r="I534" s="2">
        <v>716.34</v>
      </c>
      <c r="J534" s="2">
        <v>936.59</v>
      </c>
      <c r="K534" s="2">
        <v>636.16999999999996</v>
      </c>
      <c r="L534" s="2">
        <v>0.76</v>
      </c>
      <c r="M534" s="2">
        <v>14.89</v>
      </c>
      <c r="N534" s="3" t="s">
        <v>36</v>
      </c>
      <c r="O534" s="2">
        <v>1.48</v>
      </c>
    </row>
    <row r="535" spans="1:15" x14ac:dyDescent="0.25">
      <c r="A535" s="47">
        <v>44364</v>
      </c>
      <c r="B535" s="3" t="s">
        <v>36</v>
      </c>
      <c r="C535" s="3" t="s">
        <v>36</v>
      </c>
      <c r="D535" s="3" t="s">
        <v>36</v>
      </c>
      <c r="E535" s="3" t="s">
        <v>36</v>
      </c>
      <c r="F535" s="3" t="s">
        <v>36</v>
      </c>
      <c r="G535" s="3" t="s">
        <v>36</v>
      </c>
      <c r="H535" s="2">
        <v>31.07</v>
      </c>
      <c r="I535" s="2">
        <v>647.82000000000005</v>
      </c>
      <c r="J535" s="2">
        <v>1012.57</v>
      </c>
      <c r="K535" s="2">
        <v>758.89</v>
      </c>
      <c r="L535" s="2">
        <v>0.77</v>
      </c>
      <c r="M535" s="2">
        <v>14.69</v>
      </c>
      <c r="N535" s="3" t="s">
        <v>36</v>
      </c>
      <c r="O535" s="2">
        <v>0.97</v>
      </c>
    </row>
    <row r="536" spans="1:15" x14ac:dyDescent="0.25">
      <c r="A536" s="47">
        <v>44365</v>
      </c>
      <c r="B536" s="3" t="s">
        <v>36</v>
      </c>
      <c r="C536" s="3" t="s">
        <v>36</v>
      </c>
      <c r="D536" s="3" t="s">
        <v>36</v>
      </c>
      <c r="E536" s="3" t="s">
        <v>36</v>
      </c>
      <c r="F536" s="3" t="s">
        <v>36</v>
      </c>
      <c r="G536" s="3" t="s">
        <v>36</v>
      </c>
      <c r="H536" s="2">
        <v>28.05</v>
      </c>
      <c r="I536" s="2">
        <v>666.78</v>
      </c>
      <c r="J536" s="2">
        <v>1058.76</v>
      </c>
      <c r="K536" s="2">
        <v>783.11</v>
      </c>
      <c r="L536" s="2">
        <v>0.67</v>
      </c>
      <c r="M536" s="2">
        <v>14.76</v>
      </c>
      <c r="N536" s="3" t="s">
        <v>36</v>
      </c>
      <c r="O536" s="2">
        <v>1.66</v>
      </c>
    </row>
    <row r="537" spans="1:15" x14ac:dyDescent="0.25">
      <c r="A537" s="47">
        <v>44366</v>
      </c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</row>
    <row r="538" spans="1:15" x14ac:dyDescent="0.25">
      <c r="A538" s="47">
        <v>44367</v>
      </c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</row>
    <row r="539" spans="1:15" x14ac:dyDescent="0.25">
      <c r="A539" s="47">
        <v>44368</v>
      </c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</row>
    <row r="540" spans="1:15" x14ac:dyDescent="0.25">
      <c r="A540" s="47">
        <v>44369</v>
      </c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</row>
    <row r="541" spans="1:15" x14ac:dyDescent="0.25">
      <c r="A541" s="47">
        <v>44370</v>
      </c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</row>
    <row r="542" spans="1:15" x14ac:dyDescent="0.25">
      <c r="A542" s="47">
        <v>44371</v>
      </c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</row>
    <row r="543" spans="1:15" x14ac:dyDescent="0.25">
      <c r="A543" s="47">
        <v>44372</v>
      </c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</row>
    <row r="544" spans="1:15" x14ac:dyDescent="0.25">
      <c r="A544" s="47">
        <v>44373</v>
      </c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</row>
    <row r="545" spans="1:15" x14ac:dyDescent="0.25">
      <c r="A545" s="47">
        <v>44374</v>
      </c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</row>
    <row r="546" spans="1:15" x14ac:dyDescent="0.25">
      <c r="A546" s="47">
        <v>44375</v>
      </c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</row>
    <row r="547" spans="1:15" x14ac:dyDescent="0.25">
      <c r="A547" s="47">
        <v>44376</v>
      </c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</row>
    <row r="548" spans="1:15" x14ac:dyDescent="0.25">
      <c r="A548" s="47">
        <v>44377</v>
      </c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</row>
    <row r="549" spans="1:15" x14ac:dyDescent="0.25">
      <c r="A549" s="47">
        <v>44378</v>
      </c>
    </row>
    <row r="550" spans="1:15" x14ac:dyDescent="0.25">
      <c r="A550" s="47">
        <v>44379</v>
      </c>
    </row>
    <row r="551" spans="1:15" x14ac:dyDescent="0.25">
      <c r="A551" s="47">
        <v>44380</v>
      </c>
    </row>
    <row r="552" spans="1:15" x14ac:dyDescent="0.25">
      <c r="A552" s="47">
        <v>44381</v>
      </c>
    </row>
    <row r="553" spans="1:15" x14ac:dyDescent="0.25">
      <c r="A553" s="47">
        <v>44382</v>
      </c>
    </row>
    <row r="554" spans="1:15" x14ac:dyDescent="0.25">
      <c r="A554" s="47">
        <v>44383</v>
      </c>
    </row>
    <row r="555" spans="1:15" x14ac:dyDescent="0.25">
      <c r="A555" s="47">
        <v>44384</v>
      </c>
    </row>
    <row r="556" spans="1:15" x14ac:dyDescent="0.25">
      <c r="A556" s="47">
        <v>44385</v>
      </c>
    </row>
    <row r="557" spans="1:15" x14ac:dyDescent="0.25">
      <c r="A557" s="47">
        <v>44386</v>
      </c>
    </row>
    <row r="558" spans="1:15" x14ac:dyDescent="0.25">
      <c r="A558" s="47">
        <v>44387</v>
      </c>
    </row>
    <row r="559" spans="1:15" x14ac:dyDescent="0.25">
      <c r="A559" s="47">
        <v>44388</v>
      </c>
    </row>
    <row r="560" spans="1:15" x14ac:dyDescent="0.25">
      <c r="A560" s="47">
        <v>44389</v>
      </c>
    </row>
    <row r="561" spans="1:1" x14ac:dyDescent="0.25">
      <c r="A561" s="47">
        <v>44390</v>
      </c>
    </row>
    <row r="562" spans="1:1" x14ac:dyDescent="0.25">
      <c r="A562" s="47">
        <v>44391</v>
      </c>
    </row>
    <row r="563" spans="1:1" x14ac:dyDescent="0.25">
      <c r="A563" s="47">
        <v>44392</v>
      </c>
    </row>
    <row r="564" spans="1:1" x14ac:dyDescent="0.25">
      <c r="A564" s="47">
        <v>44393</v>
      </c>
    </row>
    <row r="565" spans="1:1" x14ac:dyDescent="0.25">
      <c r="A565" s="47">
        <v>44394</v>
      </c>
    </row>
    <row r="566" spans="1:1" x14ac:dyDescent="0.25">
      <c r="A566" s="47">
        <v>44395</v>
      </c>
    </row>
    <row r="567" spans="1:1" x14ac:dyDescent="0.25">
      <c r="A567" s="47">
        <v>44396</v>
      </c>
    </row>
    <row r="568" spans="1:1" x14ac:dyDescent="0.25">
      <c r="A568" s="47">
        <v>44397</v>
      </c>
    </row>
    <row r="569" spans="1:1" x14ac:dyDescent="0.25">
      <c r="A569" s="47">
        <v>44398</v>
      </c>
    </row>
    <row r="570" spans="1:1" x14ac:dyDescent="0.25">
      <c r="A570" s="47">
        <v>44399</v>
      </c>
    </row>
    <row r="571" spans="1:1" x14ac:dyDescent="0.25">
      <c r="A571" s="47">
        <v>44400</v>
      </c>
    </row>
    <row r="572" spans="1:1" x14ac:dyDescent="0.25">
      <c r="A572" s="47">
        <v>44401</v>
      </c>
    </row>
    <row r="573" spans="1:1" x14ac:dyDescent="0.25">
      <c r="A573" s="47">
        <v>44402</v>
      </c>
    </row>
    <row r="574" spans="1:1" x14ac:dyDescent="0.25">
      <c r="A574" s="47">
        <v>44403</v>
      </c>
    </row>
    <row r="575" spans="1:1" x14ac:dyDescent="0.25">
      <c r="A575" s="47">
        <v>44404</v>
      </c>
    </row>
    <row r="576" spans="1:1" x14ac:dyDescent="0.25">
      <c r="A576" s="47">
        <v>44405</v>
      </c>
    </row>
    <row r="577" spans="1:1" x14ac:dyDescent="0.25">
      <c r="A577" s="47">
        <v>44406</v>
      </c>
    </row>
    <row r="578" spans="1:1" x14ac:dyDescent="0.25">
      <c r="A578" s="47">
        <v>44407</v>
      </c>
    </row>
    <row r="579" spans="1:1" x14ac:dyDescent="0.25">
      <c r="A579" s="47">
        <v>44408</v>
      </c>
    </row>
    <row r="580" spans="1:1" x14ac:dyDescent="0.25">
      <c r="A580" s="47">
        <v>44409</v>
      </c>
    </row>
    <row r="581" spans="1:1" x14ac:dyDescent="0.25">
      <c r="A581" s="47">
        <v>44410</v>
      </c>
    </row>
    <row r="582" spans="1:1" x14ac:dyDescent="0.25">
      <c r="A582" s="47">
        <v>44411</v>
      </c>
    </row>
    <row r="583" spans="1:1" x14ac:dyDescent="0.25">
      <c r="A583" s="47">
        <v>44412</v>
      </c>
    </row>
    <row r="584" spans="1:1" x14ac:dyDescent="0.25">
      <c r="A584" s="47">
        <v>44413</v>
      </c>
    </row>
    <row r="585" spans="1:1" x14ac:dyDescent="0.25">
      <c r="A585" s="47">
        <v>44414</v>
      </c>
    </row>
    <row r="586" spans="1:1" x14ac:dyDescent="0.25">
      <c r="A586" s="47">
        <v>44415</v>
      </c>
    </row>
    <row r="587" spans="1:1" x14ac:dyDescent="0.25">
      <c r="A587" s="47">
        <v>44416</v>
      </c>
    </row>
    <row r="588" spans="1:1" x14ac:dyDescent="0.25">
      <c r="A588" s="47">
        <v>44417</v>
      </c>
    </row>
    <row r="589" spans="1:1" x14ac:dyDescent="0.25">
      <c r="A589" s="47">
        <v>44418</v>
      </c>
    </row>
    <row r="590" spans="1:1" x14ac:dyDescent="0.25">
      <c r="A590" s="47">
        <v>44419</v>
      </c>
    </row>
    <row r="591" spans="1:1" x14ac:dyDescent="0.25">
      <c r="A591" s="47">
        <v>44420</v>
      </c>
    </row>
    <row r="592" spans="1:1" x14ac:dyDescent="0.25">
      <c r="A592" s="47">
        <v>44421</v>
      </c>
    </row>
    <row r="593" spans="1:1" x14ac:dyDescent="0.25">
      <c r="A593" s="47">
        <v>44422</v>
      </c>
    </row>
    <row r="594" spans="1:1" x14ac:dyDescent="0.25">
      <c r="A594" s="47">
        <v>44423</v>
      </c>
    </row>
    <row r="595" spans="1:1" x14ac:dyDescent="0.25">
      <c r="A595" s="47">
        <v>44424</v>
      </c>
    </row>
    <row r="596" spans="1:1" x14ac:dyDescent="0.25">
      <c r="A596" s="47">
        <v>44425</v>
      </c>
    </row>
    <row r="597" spans="1:1" x14ac:dyDescent="0.25">
      <c r="A597" s="47">
        <v>44426</v>
      </c>
    </row>
    <row r="598" spans="1:1" x14ac:dyDescent="0.25">
      <c r="A598" s="47">
        <v>44427</v>
      </c>
    </row>
    <row r="599" spans="1:1" x14ac:dyDescent="0.25">
      <c r="A599" s="47">
        <v>44428</v>
      </c>
    </row>
    <row r="600" spans="1:1" x14ac:dyDescent="0.25">
      <c r="A600" s="47">
        <v>44429</v>
      </c>
    </row>
    <row r="601" spans="1:1" x14ac:dyDescent="0.25">
      <c r="A601" s="47">
        <v>44430</v>
      </c>
    </row>
    <row r="602" spans="1:1" x14ac:dyDescent="0.25">
      <c r="A602" s="47">
        <v>44431</v>
      </c>
    </row>
    <row r="603" spans="1:1" x14ac:dyDescent="0.25">
      <c r="A603" s="47">
        <v>44432</v>
      </c>
    </row>
    <row r="604" spans="1:1" x14ac:dyDescent="0.25">
      <c r="A604" s="47">
        <v>44433</v>
      </c>
    </row>
    <row r="605" spans="1:1" x14ac:dyDescent="0.25">
      <c r="A605" s="47">
        <v>44434</v>
      </c>
    </row>
    <row r="606" spans="1:1" x14ac:dyDescent="0.25">
      <c r="A606" s="47">
        <v>44435</v>
      </c>
    </row>
    <row r="607" spans="1:1" x14ac:dyDescent="0.25">
      <c r="A607" s="47">
        <v>44436</v>
      </c>
    </row>
    <row r="608" spans="1:1" x14ac:dyDescent="0.25">
      <c r="A608" s="47">
        <v>44437</v>
      </c>
    </row>
    <row r="609" spans="1:1" x14ac:dyDescent="0.25">
      <c r="A609" s="47">
        <v>44438</v>
      </c>
    </row>
    <row r="610" spans="1:1" x14ac:dyDescent="0.25">
      <c r="A610" s="47">
        <v>44439</v>
      </c>
    </row>
    <row r="611" spans="1:1" x14ac:dyDescent="0.25">
      <c r="A611" s="47">
        <v>44440</v>
      </c>
    </row>
    <row r="612" spans="1:1" x14ac:dyDescent="0.25">
      <c r="A612" s="47">
        <v>44441</v>
      </c>
    </row>
    <row r="613" spans="1:1" x14ac:dyDescent="0.25">
      <c r="A613" s="47">
        <v>44442</v>
      </c>
    </row>
    <row r="614" spans="1:1" x14ac:dyDescent="0.25">
      <c r="A614" s="47">
        <v>44443</v>
      </c>
    </row>
    <row r="615" spans="1:1" x14ac:dyDescent="0.25">
      <c r="A615" s="47">
        <v>44444</v>
      </c>
    </row>
    <row r="616" spans="1:1" x14ac:dyDescent="0.25">
      <c r="A616" s="47">
        <v>44445</v>
      </c>
    </row>
    <row r="617" spans="1:1" x14ac:dyDescent="0.25">
      <c r="A617" s="47">
        <v>44446</v>
      </c>
    </row>
    <row r="618" spans="1:1" x14ac:dyDescent="0.25">
      <c r="A618" s="47">
        <v>44447</v>
      </c>
    </row>
    <row r="619" spans="1:1" x14ac:dyDescent="0.25">
      <c r="A619" s="47">
        <v>44448</v>
      </c>
    </row>
    <row r="620" spans="1:1" x14ac:dyDescent="0.25">
      <c r="A620" s="47">
        <v>44449</v>
      </c>
    </row>
    <row r="621" spans="1:1" x14ac:dyDescent="0.25">
      <c r="A621" s="47">
        <v>44450</v>
      </c>
    </row>
    <row r="622" spans="1:1" x14ac:dyDescent="0.25">
      <c r="A622" s="47">
        <v>44451</v>
      </c>
    </row>
    <row r="623" spans="1:1" x14ac:dyDescent="0.25">
      <c r="A623" s="47">
        <v>44452</v>
      </c>
    </row>
    <row r="624" spans="1:1" x14ac:dyDescent="0.25">
      <c r="A624" s="47">
        <v>44453</v>
      </c>
    </row>
    <row r="625" spans="1:1" x14ac:dyDescent="0.25">
      <c r="A625" s="47">
        <v>44454</v>
      </c>
    </row>
    <row r="626" spans="1:1" x14ac:dyDescent="0.25">
      <c r="A626" s="47">
        <v>44455</v>
      </c>
    </row>
    <row r="627" spans="1:1" x14ac:dyDescent="0.25">
      <c r="A627" s="47">
        <v>44456</v>
      </c>
    </row>
    <row r="628" spans="1:1" x14ac:dyDescent="0.25">
      <c r="A628" s="47">
        <v>44457</v>
      </c>
    </row>
    <row r="629" spans="1:1" x14ac:dyDescent="0.25">
      <c r="A629" s="47">
        <v>44458</v>
      </c>
    </row>
    <row r="630" spans="1:1" x14ac:dyDescent="0.25">
      <c r="A630" s="47">
        <v>44459</v>
      </c>
    </row>
    <row r="631" spans="1:1" x14ac:dyDescent="0.25">
      <c r="A631" s="47">
        <v>44460</v>
      </c>
    </row>
    <row r="632" spans="1:1" x14ac:dyDescent="0.25">
      <c r="A632" s="47">
        <v>44461</v>
      </c>
    </row>
    <row r="633" spans="1:1" x14ac:dyDescent="0.25">
      <c r="A633" s="47">
        <v>44462</v>
      </c>
    </row>
    <row r="634" spans="1:1" x14ac:dyDescent="0.25">
      <c r="A634" s="47">
        <v>44463</v>
      </c>
    </row>
    <row r="635" spans="1:1" x14ac:dyDescent="0.25">
      <c r="A635" s="47">
        <v>44464</v>
      </c>
    </row>
    <row r="636" spans="1:1" x14ac:dyDescent="0.25">
      <c r="A636" s="47">
        <v>44465</v>
      </c>
    </row>
    <row r="637" spans="1:1" x14ac:dyDescent="0.25">
      <c r="A637" s="47">
        <v>44466</v>
      </c>
    </row>
    <row r="638" spans="1:1" x14ac:dyDescent="0.25">
      <c r="A638" s="47">
        <v>44467</v>
      </c>
    </row>
    <row r="639" spans="1:1" x14ac:dyDescent="0.25">
      <c r="A639" s="47">
        <v>44468</v>
      </c>
    </row>
    <row r="640" spans="1:1" x14ac:dyDescent="0.25">
      <c r="A640" s="47">
        <v>44469</v>
      </c>
    </row>
    <row r="641" spans="1:1" x14ac:dyDescent="0.25">
      <c r="A641" s="47">
        <v>44470</v>
      </c>
    </row>
    <row r="642" spans="1:1" x14ac:dyDescent="0.25">
      <c r="A642" s="47">
        <v>44471</v>
      </c>
    </row>
    <row r="643" spans="1:1" x14ac:dyDescent="0.25">
      <c r="A643" s="47">
        <v>44472</v>
      </c>
    </row>
    <row r="644" spans="1:1" x14ac:dyDescent="0.25">
      <c r="A644" s="47">
        <v>44473</v>
      </c>
    </row>
    <row r="645" spans="1:1" x14ac:dyDescent="0.25">
      <c r="A645" s="47">
        <v>44474</v>
      </c>
    </row>
    <row r="646" spans="1:1" x14ac:dyDescent="0.25">
      <c r="A646" s="47">
        <v>44475</v>
      </c>
    </row>
    <row r="647" spans="1:1" x14ac:dyDescent="0.25">
      <c r="A647" s="47">
        <v>44476</v>
      </c>
    </row>
    <row r="648" spans="1:1" x14ac:dyDescent="0.25">
      <c r="A648" s="47">
        <v>44477</v>
      </c>
    </row>
    <row r="649" spans="1:1" x14ac:dyDescent="0.25">
      <c r="A649" s="47">
        <v>44478</v>
      </c>
    </row>
    <row r="650" spans="1:1" x14ac:dyDescent="0.25">
      <c r="A650" s="47">
        <v>44479</v>
      </c>
    </row>
    <row r="651" spans="1:1" x14ac:dyDescent="0.25">
      <c r="A651" s="47">
        <v>44480</v>
      </c>
    </row>
    <row r="652" spans="1:1" x14ac:dyDescent="0.25">
      <c r="A652" s="47">
        <v>44481</v>
      </c>
    </row>
    <row r="653" spans="1:1" x14ac:dyDescent="0.25">
      <c r="A653" s="47">
        <v>44482</v>
      </c>
    </row>
    <row r="654" spans="1:1" x14ac:dyDescent="0.25">
      <c r="A654" s="47">
        <v>44483</v>
      </c>
    </row>
    <row r="655" spans="1:1" x14ac:dyDescent="0.25">
      <c r="A655" s="47">
        <v>44484</v>
      </c>
    </row>
    <row r="656" spans="1:1" x14ac:dyDescent="0.25">
      <c r="A656" s="47">
        <v>44485</v>
      </c>
    </row>
    <row r="657" spans="1:1" x14ac:dyDescent="0.25">
      <c r="A657" s="47">
        <v>44486</v>
      </c>
    </row>
    <row r="658" spans="1:1" x14ac:dyDescent="0.25">
      <c r="A658" s="47">
        <v>44487</v>
      </c>
    </row>
    <row r="659" spans="1:1" x14ac:dyDescent="0.25">
      <c r="A659" s="47">
        <v>44488</v>
      </c>
    </row>
    <row r="660" spans="1:1" x14ac:dyDescent="0.25">
      <c r="A660" s="47">
        <v>44489</v>
      </c>
    </row>
    <row r="661" spans="1:1" x14ac:dyDescent="0.25">
      <c r="A661" s="47">
        <v>44490</v>
      </c>
    </row>
    <row r="662" spans="1:1" x14ac:dyDescent="0.25">
      <c r="A662" s="47">
        <v>44491</v>
      </c>
    </row>
    <row r="663" spans="1:1" x14ac:dyDescent="0.25">
      <c r="A663" s="47">
        <v>44492</v>
      </c>
    </row>
    <row r="664" spans="1:1" x14ac:dyDescent="0.25">
      <c r="A664" s="47">
        <v>44493</v>
      </c>
    </row>
    <row r="665" spans="1:1" x14ac:dyDescent="0.25">
      <c r="A665" s="47">
        <v>44494</v>
      </c>
    </row>
    <row r="666" spans="1:1" x14ac:dyDescent="0.25">
      <c r="A666" s="47">
        <v>44495</v>
      </c>
    </row>
    <row r="667" spans="1:1" x14ac:dyDescent="0.25">
      <c r="A667" s="47">
        <v>44496</v>
      </c>
    </row>
    <row r="668" spans="1:1" x14ac:dyDescent="0.25">
      <c r="A668" s="47">
        <v>44497</v>
      </c>
    </row>
    <row r="669" spans="1:1" x14ac:dyDescent="0.25">
      <c r="A669" s="47">
        <v>44498</v>
      </c>
    </row>
    <row r="670" spans="1:1" x14ac:dyDescent="0.25">
      <c r="A670" s="47">
        <v>44499</v>
      </c>
    </row>
    <row r="671" spans="1:1" x14ac:dyDescent="0.25">
      <c r="A671" s="47">
        <v>44500</v>
      </c>
    </row>
    <row r="672" spans="1:1" x14ac:dyDescent="0.25">
      <c r="A672" s="47">
        <v>44501</v>
      </c>
    </row>
    <row r="673" spans="1:1" x14ac:dyDescent="0.25">
      <c r="A673" s="47">
        <v>44502</v>
      </c>
    </row>
    <row r="674" spans="1:1" x14ac:dyDescent="0.25">
      <c r="A674" s="47">
        <v>44503</v>
      </c>
    </row>
    <row r="675" spans="1:1" x14ac:dyDescent="0.25">
      <c r="A675" s="47">
        <v>44504</v>
      </c>
    </row>
    <row r="676" spans="1:1" x14ac:dyDescent="0.25">
      <c r="A676" s="47">
        <v>44505</v>
      </c>
    </row>
    <row r="677" spans="1:1" x14ac:dyDescent="0.25">
      <c r="A677" s="47">
        <v>44506</v>
      </c>
    </row>
    <row r="678" spans="1:1" x14ac:dyDescent="0.25">
      <c r="A678" s="47">
        <v>44507</v>
      </c>
    </row>
    <row r="679" spans="1:1" x14ac:dyDescent="0.25">
      <c r="A679" s="47">
        <v>44508</v>
      </c>
    </row>
    <row r="680" spans="1:1" x14ac:dyDescent="0.25">
      <c r="A680" s="47">
        <v>44509</v>
      </c>
    </row>
    <row r="681" spans="1:1" x14ac:dyDescent="0.25">
      <c r="A681" s="47">
        <v>44510</v>
      </c>
    </row>
    <row r="682" spans="1:1" x14ac:dyDescent="0.25">
      <c r="A682" s="47">
        <v>44511</v>
      </c>
    </row>
    <row r="683" spans="1:1" x14ac:dyDescent="0.25">
      <c r="A683" s="47">
        <v>44512</v>
      </c>
    </row>
    <row r="684" spans="1:1" x14ac:dyDescent="0.25">
      <c r="A684" s="47">
        <v>44513</v>
      </c>
    </row>
    <row r="685" spans="1:1" x14ac:dyDescent="0.25">
      <c r="A685" s="47">
        <v>44514</v>
      </c>
    </row>
    <row r="686" spans="1:1" x14ac:dyDescent="0.25">
      <c r="A686" s="47">
        <v>44515</v>
      </c>
    </row>
    <row r="687" spans="1:1" x14ac:dyDescent="0.25">
      <c r="A687" s="47">
        <v>44516</v>
      </c>
    </row>
    <row r="688" spans="1:1" x14ac:dyDescent="0.25">
      <c r="A688" s="47">
        <v>44517</v>
      </c>
    </row>
    <row r="689" spans="1:1" x14ac:dyDescent="0.25">
      <c r="A689" s="47">
        <v>44518</v>
      </c>
    </row>
    <row r="690" spans="1:1" x14ac:dyDescent="0.25">
      <c r="A690" s="47">
        <v>44519</v>
      </c>
    </row>
    <row r="691" spans="1:1" x14ac:dyDescent="0.25">
      <c r="A691" s="47">
        <v>44520</v>
      </c>
    </row>
    <row r="692" spans="1:1" x14ac:dyDescent="0.25">
      <c r="A692" s="47">
        <v>44521</v>
      </c>
    </row>
    <row r="693" spans="1:1" x14ac:dyDescent="0.25">
      <c r="A693" s="47">
        <v>44522</v>
      </c>
    </row>
    <row r="694" spans="1:1" x14ac:dyDescent="0.25">
      <c r="A694" s="47">
        <v>44523</v>
      </c>
    </row>
    <row r="695" spans="1:1" x14ac:dyDescent="0.25">
      <c r="A695" s="47">
        <v>44524</v>
      </c>
    </row>
    <row r="696" spans="1:1" x14ac:dyDescent="0.25">
      <c r="A696" s="47">
        <v>44525</v>
      </c>
    </row>
    <row r="697" spans="1:1" x14ac:dyDescent="0.25">
      <c r="A697" s="47">
        <v>44526</v>
      </c>
    </row>
    <row r="698" spans="1:1" x14ac:dyDescent="0.25">
      <c r="A698" s="47">
        <v>44527</v>
      </c>
    </row>
    <row r="699" spans="1:1" x14ac:dyDescent="0.25">
      <c r="A699" s="47">
        <v>44528</v>
      </c>
    </row>
    <row r="700" spans="1:1" x14ac:dyDescent="0.25">
      <c r="A700" s="47">
        <v>44529</v>
      </c>
    </row>
    <row r="701" spans="1:1" x14ac:dyDescent="0.25">
      <c r="A701" s="47">
        <v>44530</v>
      </c>
    </row>
    <row r="702" spans="1:1" x14ac:dyDescent="0.25">
      <c r="A702" s="47">
        <v>44531</v>
      </c>
    </row>
    <row r="703" spans="1:1" x14ac:dyDescent="0.25">
      <c r="A703" s="47">
        <v>44532</v>
      </c>
    </row>
    <row r="704" spans="1:1" x14ac:dyDescent="0.25">
      <c r="A704" s="47">
        <v>44533</v>
      </c>
    </row>
    <row r="705" spans="1:1" x14ac:dyDescent="0.25">
      <c r="A705" s="47">
        <v>44534</v>
      </c>
    </row>
    <row r="706" spans="1:1" x14ac:dyDescent="0.25">
      <c r="A706" s="47">
        <v>44535</v>
      </c>
    </row>
    <row r="707" spans="1:1" x14ac:dyDescent="0.25">
      <c r="A707" s="47">
        <v>44536</v>
      </c>
    </row>
    <row r="708" spans="1:1" x14ac:dyDescent="0.25">
      <c r="A708" s="47">
        <v>44537</v>
      </c>
    </row>
    <row r="709" spans="1:1" x14ac:dyDescent="0.25">
      <c r="A709" s="47">
        <v>44538</v>
      </c>
    </row>
    <row r="710" spans="1:1" x14ac:dyDescent="0.25">
      <c r="A710" s="47">
        <v>44539</v>
      </c>
    </row>
    <row r="711" spans="1:1" x14ac:dyDescent="0.25">
      <c r="A711" s="47">
        <v>44540</v>
      </c>
    </row>
    <row r="712" spans="1:1" x14ac:dyDescent="0.25">
      <c r="A712" s="47">
        <v>44541</v>
      </c>
    </row>
    <row r="713" spans="1:1" x14ac:dyDescent="0.25">
      <c r="A713" s="47">
        <v>44542</v>
      </c>
    </row>
    <row r="714" spans="1:1" x14ac:dyDescent="0.25">
      <c r="A714" s="47">
        <v>44543</v>
      </c>
    </row>
    <row r="715" spans="1:1" x14ac:dyDescent="0.25">
      <c r="A715" s="47">
        <v>44544</v>
      </c>
    </row>
    <row r="716" spans="1:1" x14ac:dyDescent="0.25">
      <c r="A716" s="47">
        <v>44545</v>
      </c>
    </row>
    <row r="717" spans="1:1" x14ac:dyDescent="0.25">
      <c r="A717" s="47">
        <v>44546</v>
      </c>
    </row>
    <row r="718" spans="1:1" x14ac:dyDescent="0.25">
      <c r="A718" s="47">
        <v>44547</v>
      </c>
    </row>
    <row r="719" spans="1:1" x14ac:dyDescent="0.25">
      <c r="A719" s="47">
        <v>44548</v>
      </c>
    </row>
    <row r="720" spans="1:1" x14ac:dyDescent="0.25">
      <c r="A720" s="47">
        <v>44549</v>
      </c>
    </row>
    <row r="721" spans="1:1" x14ac:dyDescent="0.25">
      <c r="A721" s="47">
        <v>44550</v>
      </c>
    </row>
    <row r="722" spans="1:1" x14ac:dyDescent="0.25">
      <c r="A722" s="47">
        <v>44551</v>
      </c>
    </row>
    <row r="723" spans="1:1" x14ac:dyDescent="0.25">
      <c r="A723" s="47">
        <v>44552</v>
      </c>
    </row>
    <row r="724" spans="1:1" x14ac:dyDescent="0.25">
      <c r="A724" s="47">
        <v>44553</v>
      </c>
    </row>
    <row r="725" spans="1:1" x14ac:dyDescent="0.25">
      <c r="A725" s="47">
        <v>44554</v>
      </c>
    </row>
    <row r="726" spans="1:1" x14ac:dyDescent="0.25">
      <c r="A726" s="47">
        <v>44555</v>
      </c>
    </row>
    <row r="727" spans="1:1" x14ac:dyDescent="0.25">
      <c r="A727" s="47">
        <v>44556</v>
      </c>
    </row>
    <row r="728" spans="1:1" x14ac:dyDescent="0.25">
      <c r="A728" s="47">
        <v>44557</v>
      </c>
    </row>
    <row r="729" spans="1:1" x14ac:dyDescent="0.25">
      <c r="A729" s="47">
        <v>44558</v>
      </c>
    </row>
    <row r="730" spans="1:1" x14ac:dyDescent="0.25">
      <c r="A730" s="47">
        <v>44559</v>
      </c>
    </row>
    <row r="731" spans="1:1" x14ac:dyDescent="0.25">
      <c r="A731" s="47">
        <v>44560</v>
      </c>
    </row>
    <row r="732" spans="1:1" x14ac:dyDescent="0.25">
      <c r="A732" s="47">
        <v>44561</v>
      </c>
    </row>
    <row r="733" spans="1:1" x14ac:dyDescent="0.25">
      <c r="A733" s="47"/>
    </row>
    <row r="734" spans="1:1" x14ac:dyDescent="0.25">
      <c r="A734" s="47"/>
    </row>
    <row r="735" spans="1:1" x14ac:dyDescent="0.25">
      <c r="A735" s="47"/>
    </row>
    <row r="736" spans="1:1" x14ac:dyDescent="0.25">
      <c r="A736" s="47"/>
    </row>
    <row r="737" spans="1:1" x14ac:dyDescent="0.25">
      <c r="A737" s="47"/>
    </row>
    <row r="738" spans="1:1" x14ac:dyDescent="0.25">
      <c r="A738" s="47"/>
    </row>
    <row r="739" spans="1:1" x14ac:dyDescent="0.25">
      <c r="A739" s="47"/>
    </row>
    <row r="740" spans="1:1" x14ac:dyDescent="0.25">
      <c r="A740" s="47"/>
    </row>
    <row r="741" spans="1:1" x14ac:dyDescent="0.25">
      <c r="A741" s="47"/>
    </row>
    <row r="742" spans="1:1" x14ac:dyDescent="0.25">
      <c r="A742" s="47"/>
    </row>
    <row r="743" spans="1:1" x14ac:dyDescent="0.25">
      <c r="A743" s="47"/>
    </row>
    <row r="744" spans="1:1" x14ac:dyDescent="0.25">
      <c r="A744" s="47"/>
    </row>
    <row r="745" spans="1:1" x14ac:dyDescent="0.25">
      <c r="A745" s="47"/>
    </row>
    <row r="746" spans="1:1" x14ac:dyDescent="0.25">
      <c r="A746" s="47"/>
    </row>
    <row r="747" spans="1:1" x14ac:dyDescent="0.25">
      <c r="A747" s="47"/>
    </row>
    <row r="748" spans="1:1" x14ac:dyDescent="0.25">
      <c r="A748" s="47"/>
    </row>
    <row r="749" spans="1:1" x14ac:dyDescent="0.25">
      <c r="A749" s="47"/>
    </row>
    <row r="750" spans="1:1" x14ac:dyDescent="0.25">
      <c r="A750" s="47"/>
    </row>
    <row r="751" spans="1:1" x14ac:dyDescent="0.25">
      <c r="A751" s="47"/>
    </row>
    <row r="752" spans="1:1" x14ac:dyDescent="0.25">
      <c r="A752" s="47"/>
    </row>
    <row r="753" spans="1:1" x14ac:dyDescent="0.25">
      <c r="A753" s="47"/>
    </row>
    <row r="754" spans="1:1" x14ac:dyDescent="0.25">
      <c r="A754" s="47"/>
    </row>
    <row r="755" spans="1:1" x14ac:dyDescent="0.25">
      <c r="A755" s="47"/>
    </row>
    <row r="756" spans="1:1" x14ac:dyDescent="0.25">
      <c r="A756" s="47"/>
    </row>
    <row r="757" spans="1:1" x14ac:dyDescent="0.25">
      <c r="A757" s="47"/>
    </row>
    <row r="758" spans="1:1" x14ac:dyDescent="0.25">
      <c r="A758" s="47"/>
    </row>
    <row r="759" spans="1:1" x14ac:dyDescent="0.25">
      <c r="A759" s="47"/>
    </row>
    <row r="760" spans="1:1" x14ac:dyDescent="0.25">
      <c r="A760" s="47"/>
    </row>
    <row r="761" spans="1:1" x14ac:dyDescent="0.25">
      <c r="A761" s="47"/>
    </row>
    <row r="762" spans="1:1" x14ac:dyDescent="0.25">
      <c r="A762" s="47"/>
    </row>
    <row r="763" spans="1:1" x14ac:dyDescent="0.25">
      <c r="A763" s="47"/>
    </row>
    <row r="764" spans="1:1" x14ac:dyDescent="0.25">
      <c r="A764" s="47"/>
    </row>
    <row r="765" spans="1:1" x14ac:dyDescent="0.25">
      <c r="A765" s="47"/>
    </row>
    <row r="766" spans="1:1" x14ac:dyDescent="0.25">
      <c r="A766" s="47"/>
    </row>
    <row r="767" spans="1:1" x14ac:dyDescent="0.25">
      <c r="A767" s="47"/>
    </row>
    <row r="768" spans="1:1" x14ac:dyDescent="0.25">
      <c r="A768" s="47"/>
    </row>
    <row r="769" spans="1:1" x14ac:dyDescent="0.25">
      <c r="A769" s="47"/>
    </row>
    <row r="770" spans="1:1" x14ac:dyDescent="0.25">
      <c r="A770" s="47"/>
    </row>
    <row r="771" spans="1:1" x14ac:dyDescent="0.25">
      <c r="A771" s="47"/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C1:V41"/>
  <sheetViews>
    <sheetView zoomScale="86" zoomScaleNormal="86" workbookViewId="0">
      <selection activeCell="E13" sqref="E13:K13"/>
    </sheetView>
  </sheetViews>
  <sheetFormatPr defaultRowHeight="15" x14ac:dyDescent="0.25"/>
  <cols>
    <col min="3" max="3" width="26.42578125" customWidth="1"/>
    <col min="4" max="4" width="22.7109375" customWidth="1"/>
    <col min="5" max="6" width="17.7109375" customWidth="1"/>
    <col min="7" max="7" width="21.7109375" customWidth="1"/>
    <col min="8" max="22" width="17.7109375" customWidth="1"/>
  </cols>
  <sheetData>
    <row r="1" spans="3:22" ht="29.25" customHeight="1" x14ac:dyDescent="0.25">
      <c r="E1" s="58" t="s">
        <v>16</v>
      </c>
      <c r="F1" s="59"/>
      <c r="G1" s="59"/>
      <c r="H1" s="59"/>
      <c r="I1" s="59"/>
      <c r="J1" s="59"/>
      <c r="K1" s="59"/>
    </row>
    <row r="5" spans="3:22" x14ac:dyDescent="0.25">
      <c r="C5" s="102" t="s">
        <v>9</v>
      </c>
      <c r="D5" s="103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51"/>
      <c r="T5" s="1"/>
      <c r="U5" s="1"/>
      <c r="V5" s="51"/>
    </row>
    <row r="6" spans="3:22" x14ac:dyDescent="0.25">
      <c r="C6" s="102" t="s">
        <v>10</v>
      </c>
      <c r="D6" s="103"/>
      <c r="E6" s="5"/>
      <c r="F6" s="5"/>
      <c r="G6" s="5"/>
      <c r="H6" s="5"/>
      <c r="I6" s="5"/>
      <c r="J6" s="5"/>
      <c r="K6" s="4"/>
      <c r="L6" s="4"/>
      <c r="M6" s="4"/>
      <c r="N6" s="4"/>
      <c r="O6" s="4"/>
      <c r="P6" s="4"/>
      <c r="Q6" s="5"/>
      <c r="R6" s="4"/>
      <c r="S6" s="52"/>
      <c r="T6" s="4"/>
      <c r="U6" s="4"/>
      <c r="V6" s="52"/>
    </row>
    <row r="7" spans="3:22" x14ac:dyDescent="0.25">
      <c r="C7" s="102" t="s">
        <v>11</v>
      </c>
      <c r="D7" s="103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2"/>
      <c r="T7" s="5"/>
      <c r="U7" s="5"/>
      <c r="V7" s="52"/>
    </row>
    <row r="8" spans="3:22" x14ac:dyDescent="0.25">
      <c r="C8" s="102" t="s">
        <v>12</v>
      </c>
      <c r="D8" s="103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2"/>
      <c r="T8" s="5"/>
      <c r="U8" s="5"/>
      <c r="V8" s="52"/>
    </row>
    <row r="9" spans="3:22" x14ac:dyDescent="0.25">
      <c r="C9" s="102" t="s">
        <v>13</v>
      </c>
      <c r="D9" s="103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2"/>
      <c r="T9" s="5"/>
      <c r="U9" s="5"/>
      <c r="V9" s="52"/>
    </row>
    <row r="10" spans="3:22" x14ac:dyDescent="0.25">
      <c r="C10" s="102" t="s">
        <v>17</v>
      </c>
      <c r="D10" s="103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2"/>
      <c r="T10" s="5"/>
      <c r="U10" s="5"/>
      <c r="V10" s="52"/>
    </row>
    <row r="13" spans="3:22" ht="33" customHeight="1" x14ac:dyDescent="0.25">
      <c r="E13" s="101"/>
      <c r="F13" s="59"/>
      <c r="G13" s="59"/>
      <c r="H13" s="59"/>
      <c r="I13" s="59"/>
      <c r="J13" s="59"/>
      <c r="K13" s="59"/>
      <c r="L13" s="8"/>
    </row>
    <row r="16" spans="3:22" x14ac:dyDescent="0.25"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spans="3:18" x14ac:dyDescent="0.25">
      <c r="C17" s="102" t="s">
        <v>9</v>
      </c>
      <c r="D17" s="103"/>
      <c r="E17" s="5"/>
      <c r="F17" s="5"/>
      <c r="G17" s="5"/>
      <c r="H17" s="5"/>
      <c r="I17" s="5"/>
      <c r="J17" s="5"/>
      <c r="K17" s="4"/>
      <c r="L17" s="4"/>
      <c r="M17" s="4"/>
      <c r="N17" s="4"/>
      <c r="O17" s="4"/>
      <c r="P17" s="4"/>
      <c r="Q17" s="5"/>
      <c r="R17" s="4"/>
    </row>
    <row r="18" spans="3:18" x14ac:dyDescent="0.25">
      <c r="C18" s="102" t="s">
        <v>10</v>
      </c>
      <c r="D18" s="103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</row>
    <row r="19" spans="3:18" x14ac:dyDescent="0.25">
      <c r="C19" s="102" t="s">
        <v>11</v>
      </c>
      <c r="D19" s="103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</row>
    <row r="20" spans="3:18" x14ac:dyDescent="0.25">
      <c r="C20" s="102" t="s">
        <v>12</v>
      </c>
      <c r="D20" s="103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</row>
    <row r="21" spans="3:18" x14ac:dyDescent="0.25">
      <c r="C21" s="102" t="s">
        <v>13</v>
      </c>
      <c r="D21" s="103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</row>
    <row r="22" spans="3:18" x14ac:dyDescent="0.25">
      <c r="C22" s="102" t="s">
        <v>17</v>
      </c>
      <c r="D22" s="103"/>
      <c r="E22" s="7"/>
      <c r="F22" s="7"/>
      <c r="G22" s="36"/>
      <c r="H22" s="36"/>
      <c r="I22" s="36"/>
      <c r="J22" s="36"/>
      <c r="K22" s="7"/>
      <c r="L22" s="7"/>
      <c r="M22" s="36"/>
      <c r="N22" s="36"/>
      <c r="O22" s="36"/>
      <c r="P22" s="36"/>
      <c r="Q22" s="36"/>
      <c r="R22" s="7"/>
    </row>
    <row r="25" spans="3:18" ht="34.5" customHeight="1" x14ac:dyDescent="0.25">
      <c r="E25" s="58" t="s">
        <v>18</v>
      </c>
      <c r="F25" s="59"/>
      <c r="G25" s="59"/>
      <c r="H25" s="59"/>
      <c r="I25" s="59"/>
      <c r="J25" s="59"/>
      <c r="K25" s="59"/>
    </row>
    <row r="28" spans="3:18" x14ac:dyDescent="0.25"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spans="3:18" x14ac:dyDescent="0.25">
      <c r="C29" s="102" t="s">
        <v>9</v>
      </c>
      <c r="D29" s="10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</row>
    <row r="30" spans="3:18" x14ac:dyDescent="0.25">
      <c r="C30" s="102" t="s">
        <v>10</v>
      </c>
      <c r="D30" s="104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</row>
    <row r="31" spans="3:18" x14ac:dyDescent="0.25">
      <c r="C31" s="102" t="s">
        <v>11</v>
      </c>
      <c r="D31" s="104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</row>
    <row r="32" spans="3:18" x14ac:dyDescent="0.25">
      <c r="C32" s="102" t="s">
        <v>12</v>
      </c>
      <c r="D32" s="104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</row>
    <row r="33" spans="3:18" x14ac:dyDescent="0.25">
      <c r="C33" s="102" t="s">
        <v>13</v>
      </c>
      <c r="D33" s="104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</row>
    <row r="34" spans="3:18" x14ac:dyDescent="0.25">
      <c r="C34" s="102" t="s">
        <v>14</v>
      </c>
      <c r="D34" s="104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</row>
    <row r="37" spans="3:18" ht="18.75" x14ac:dyDescent="0.25">
      <c r="E37" s="58" t="s">
        <v>71</v>
      </c>
      <c r="F37" s="59"/>
      <c r="G37" s="59"/>
      <c r="H37" s="59"/>
      <c r="I37" s="59"/>
      <c r="J37" s="59"/>
      <c r="K37" s="59"/>
    </row>
    <row r="38" spans="3:18" ht="18" customHeight="1" x14ac:dyDescent="0.25"/>
    <row r="39" spans="3:18" x14ac:dyDescent="0.25">
      <c r="D39" s="54" t="s">
        <v>72</v>
      </c>
    </row>
    <row r="40" spans="3:18" x14ac:dyDescent="0.25"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spans="3:18" ht="12.75" customHeight="1" x14ac:dyDescent="0.25">
      <c r="C41" s="102" t="s">
        <v>17</v>
      </c>
      <c r="D41" s="103"/>
      <c r="E41" s="7"/>
      <c r="F41" s="7"/>
      <c r="G41" s="36"/>
      <c r="H41" s="36"/>
      <c r="I41" s="36"/>
      <c r="J41" s="36"/>
      <c r="K41" s="7"/>
      <c r="L41" s="7"/>
      <c r="M41" s="36"/>
      <c r="N41" s="36"/>
      <c r="O41" s="36"/>
      <c r="P41" s="36"/>
      <c r="Q41" s="36"/>
      <c r="R41" s="7"/>
    </row>
  </sheetData>
  <mergeCells count="23">
    <mergeCell ref="C29:D29"/>
    <mergeCell ref="C30:D30"/>
    <mergeCell ref="C31:D31"/>
    <mergeCell ref="E37:K37"/>
    <mergeCell ref="C41:D41"/>
    <mergeCell ref="C32:D32"/>
    <mergeCell ref="C33:D33"/>
    <mergeCell ref="C34:D34"/>
    <mergeCell ref="E1:K1"/>
    <mergeCell ref="C5:D5"/>
    <mergeCell ref="C20:D20"/>
    <mergeCell ref="C21:D21"/>
    <mergeCell ref="C22:D22"/>
    <mergeCell ref="C6:D6"/>
    <mergeCell ref="C7:D7"/>
    <mergeCell ref="C8:D8"/>
    <mergeCell ref="C9:D9"/>
    <mergeCell ref="C10:D10"/>
    <mergeCell ref="E25:K25"/>
    <mergeCell ref="E13:K13"/>
    <mergeCell ref="C17:D17"/>
    <mergeCell ref="C18:D18"/>
    <mergeCell ref="C19:D19"/>
  </mergeCells>
  <conditionalFormatting sqref="E22:K22">
    <cfRule type="colorScale" priority="11">
      <colorScale>
        <cfvo type="num" val="0"/>
        <cfvo type="num" val="1"/>
        <color rgb="FFFF0000"/>
        <color rgb="FF00B050"/>
      </colorScale>
    </cfRule>
  </conditionalFormatting>
  <conditionalFormatting sqref="L22">
    <cfRule type="colorScale" priority="8">
      <colorScale>
        <cfvo type="num" val="0"/>
        <cfvo type="num" val="1"/>
        <color rgb="FFFF0000"/>
        <color rgb="FF00B050"/>
      </colorScale>
    </cfRule>
  </conditionalFormatting>
  <conditionalFormatting sqref="R22">
    <cfRule type="colorScale" priority="7">
      <colorScale>
        <cfvo type="num" val="0"/>
        <cfvo type="num" val="1"/>
        <color rgb="FFFF0000"/>
        <color rgb="FF00B050"/>
      </colorScale>
    </cfRule>
  </conditionalFormatting>
  <conditionalFormatting sqref="M22:Q22">
    <cfRule type="colorScale" priority="5">
      <colorScale>
        <cfvo type="num" val="0"/>
        <cfvo type="num" val="1"/>
        <color rgb="FFFF0000"/>
        <color rgb="FF00B050"/>
      </colorScale>
    </cfRule>
  </conditionalFormatting>
  <conditionalFormatting sqref="E41:K41">
    <cfRule type="colorScale" priority="4">
      <colorScale>
        <cfvo type="num" val="0"/>
        <cfvo type="num" val="1"/>
        <color rgb="FFFF0000"/>
        <color rgb="FF00B050"/>
      </colorScale>
    </cfRule>
  </conditionalFormatting>
  <conditionalFormatting sqref="L41">
    <cfRule type="colorScale" priority="3">
      <colorScale>
        <cfvo type="num" val="0"/>
        <cfvo type="num" val="1"/>
        <color rgb="FFFF0000"/>
        <color rgb="FF00B050"/>
      </colorScale>
    </cfRule>
  </conditionalFormatting>
  <conditionalFormatting sqref="R41">
    <cfRule type="colorScale" priority="2">
      <colorScale>
        <cfvo type="num" val="0"/>
        <cfvo type="num" val="1"/>
        <color rgb="FFFF0000"/>
        <color rgb="FF00B050"/>
      </colorScale>
    </cfRule>
  </conditionalFormatting>
  <conditionalFormatting sqref="M41:Q41">
    <cfRule type="colorScale" priority="1">
      <colorScale>
        <cfvo type="num" val="0"/>
        <cfvo type="num" val="1"/>
        <color rgb="FFFF0000"/>
        <color rgb="FF00B050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D4:S40"/>
  <sheetViews>
    <sheetView topLeftCell="D1" zoomScale="85" zoomScaleNormal="85" workbookViewId="0">
      <selection activeCell="E19" sqref="E19"/>
    </sheetView>
  </sheetViews>
  <sheetFormatPr defaultRowHeight="15" x14ac:dyDescent="0.25"/>
  <cols>
    <col min="3" max="4" width="26.42578125" customWidth="1"/>
    <col min="5" max="5" width="29.7109375" customWidth="1"/>
    <col min="6" max="7" width="17.7109375" customWidth="1"/>
    <col min="8" max="8" width="21.7109375" customWidth="1"/>
    <col min="9" max="34" width="17.7109375" customWidth="1"/>
  </cols>
  <sheetData>
    <row r="4" spans="4:19" x14ac:dyDescent="0.25">
      <c r="E4" s="1" t="s">
        <v>0</v>
      </c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4:19" x14ac:dyDescent="0.25">
      <c r="E5" s="1" t="s">
        <v>1</v>
      </c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4:19" x14ac:dyDescent="0.25">
      <c r="E6" s="1" t="s">
        <v>2</v>
      </c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4:19" x14ac:dyDescent="0.25">
      <c r="E7" s="1" t="s">
        <v>3</v>
      </c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4:19" x14ac:dyDescent="0.25">
      <c r="E8" s="1" t="s">
        <v>4</v>
      </c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4:19" x14ac:dyDescent="0.25">
      <c r="E9" s="1" t="s">
        <v>5</v>
      </c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4:19" x14ac:dyDescent="0.25">
      <c r="E10" s="1" t="s">
        <v>6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4:19" x14ac:dyDescent="0.25">
      <c r="E11" s="1" t="s">
        <v>7</v>
      </c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4:19" x14ac:dyDescent="0.25">
      <c r="D12" s="56">
        <v>44364</v>
      </c>
      <c r="E12" s="56"/>
      <c r="F12" s="3"/>
      <c r="G12" s="3"/>
      <c r="H12" s="3"/>
      <c r="I12" s="3"/>
      <c r="J12" s="3"/>
      <c r="K12" s="3"/>
      <c r="L12" s="2"/>
      <c r="M12" s="2"/>
      <c r="N12" s="2"/>
      <c r="O12" s="2"/>
      <c r="P12" s="2"/>
      <c r="Q12" s="2"/>
      <c r="R12" s="3"/>
      <c r="S12" s="3"/>
    </row>
    <row r="13" spans="4:19" x14ac:dyDescent="0.25">
      <c r="D13" s="56">
        <v>44364.041666666664</v>
      </c>
      <c r="E13" s="56"/>
      <c r="F13" s="3"/>
      <c r="G13" s="3"/>
      <c r="H13" s="3"/>
      <c r="I13" s="3"/>
      <c r="J13" s="3"/>
      <c r="K13" s="3"/>
      <c r="L13" s="2"/>
      <c r="M13" s="2"/>
      <c r="N13" s="2"/>
      <c r="O13" s="2"/>
      <c r="P13" s="2"/>
      <c r="Q13" s="2"/>
      <c r="R13" s="3"/>
      <c r="S13" s="3"/>
    </row>
    <row r="14" spans="4:19" x14ac:dyDescent="0.25">
      <c r="D14" s="56">
        <v>44364.083333333336</v>
      </c>
      <c r="E14" s="56"/>
      <c r="F14" s="3"/>
      <c r="G14" s="3"/>
      <c r="H14" s="3"/>
      <c r="I14" s="3"/>
      <c r="J14" s="3"/>
      <c r="K14" s="3"/>
      <c r="L14" s="2"/>
      <c r="M14" s="2"/>
      <c r="N14" s="2"/>
      <c r="O14" s="2"/>
      <c r="P14" s="2"/>
      <c r="Q14" s="2"/>
      <c r="R14" s="3"/>
      <c r="S14" s="3"/>
    </row>
    <row r="15" spans="4:19" x14ac:dyDescent="0.25">
      <c r="D15" s="56">
        <v>44364.125</v>
      </c>
      <c r="E15" s="56"/>
      <c r="F15" s="3"/>
      <c r="G15" s="3"/>
      <c r="H15" s="3"/>
      <c r="I15" s="3"/>
      <c r="J15" s="3"/>
      <c r="K15" s="3"/>
      <c r="L15" s="2"/>
      <c r="M15" s="2"/>
      <c r="N15" s="2"/>
      <c r="O15" s="2"/>
      <c r="P15" s="2"/>
      <c r="Q15" s="2"/>
      <c r="R15" s="3"/>
      <c r="S15" s="3"/>
    </row>
    <row r="16" spans="4:19" x14ac:dyDescent="0.25">
      <c r="D16" s="56">
        <v>44364.166666666664</v>
      </c>
      <c r="E16" s="56"/>
      <c r="F16" s="3"/>
      <c r="G16" s="3"/>
      <c r="H16" s="3"/>
      <c r="I16" s="3"/>
      <c r="J16" s="3"/>
      <c r="K16" s="3"/>
      <c r="L16" s="2"/>
      <c r="M16" s="2"/>
      <c r="N16" s="2"/>
      <c r="O16" s="2"/>
      <c r="P16" s="2"/>
      <c r="Q16" s="2"/>
      <c r="R16" s="3"/>
      <c r="S16" s="3"/>
    </row>
    <row r="17" spans="4:19" x14ac:dyDescent="0.25">
      <c r="D17" s="56">
        <v>44364.208333333336</v>
      </c>
      <c r="E17" s="56"/>
      <c r="F17" s="3"/>
      <c r="G17" s="3"/>
      <c r="H17" s="3"/>
      <c r="I17" s="3"/>
      <c r="J17" s="3"/>
      <c r="K17" s="3"/>
      <c r="L17" s="2"/>
      <c r="M17" s="2"/>
      <c r="N17" s="2"/>
      <c r="O17" s="2"/>
      <c r="P17" s="2"/>
      <c r="Q17" s="2"/>
      <c r="R17" s="3"/>
      <c r="S17" s="3"/>
    </row>
    <row r="18" spans="4:19" x14ac:dyDescent="0.25">
      <c r="D18" s="56">
        <v>44364.25</v>
      </c>
      <c r="E18" s="56"/>
      <c r="F18" s="3"/>
      <c r="G18" s="3"/>
      <c r="H18" s="3"/>
      <c r="I18" s="3"/>
      <c r="J18" s="3"/>
      <c r="K18" s="3"/>
      <c r="L18" s="2"/>
      <c r="M18" s="2"/>
      <c r="N18" s="2"/>
      <c r="O18" s="2"/>
      <c r="P18" s="2"/>
      <c r="Q18" s="2"/>
      <c r="R18" s="3"/>
      <c r="S18" s="3"/>
    </row>
    <row r="19" spans="4:19" x14ac:dyDescent="0.25">
      <c r="D19" s="56">
        <v>44364.291666666664</v>
      </c>
      <c r="E19" s="56"/>
      <c r="F19" s="3"/>
      <c r="G19" s="3"/>
      <c r="H19" s="3"/>
      <c r="I19" s="3"/>
      <c r="J19" s="3"/>
      <c r="K19" s="3"/>
      <c r="L19" s="2"/>
      <c r="M19" s="2"/>
      <c r="N19" s="2"/>
      <c r="O19" s="2"/>
      <c r="P19" s="2"/>
      <c r="Q19" s="2"/>
      <c r="R19" s="3"/>
      <c r="S19" s="3"/>
    </row>
    <row r="20" spans="4:19" x14ac:dyDescent="0.25">
      <c r="D20" s="56">
        <v>44364.333333333336</v>
      </c>
      <c r="E20" s="56"/>
      <c r="F20" s="3"/>
      <c r="G20" s="3"/>
      <c r="H20" s="3"/>
      <c r="I20" s="3"/>
      <c r="J20" s="3"/>
      <c r="K20" s="3"/>
      <c r="L20" s="2"/>
      <c r="M20" s="2"/>
      <c r="N20" s="2"/>
      <c r="O20" s="2"/>
      <c r="P20" s="2"/>
      <c r="Q20" s="2"/>
      <c r="R20" s="3"/>
      <c r="S20" s="3"/>
    </row>
    <row r="21" spans="4:19" x14ac:dyDescent="0.25">
      <c r="D21" s="56">
        <v>44364.375</v>
      </c>
      <c r="E21" s="56"/>
      <c r="F21" s="3"/>
      <c r="G21" s="3"/>
      <c r="H21" s="3"/>
      <c r="I21" s="3"/>
      <c r="J21" s="3"/>
      <c r="K21" s="3"/>
      <c r="L21" s="2"/>
      <c r="M21" s="2"/>
      <c r="N21" s="2"/>
      <c r="O21" s="2"/>
      <c r="P21" s="2"/>
      <c r="Q21" s="2"/>
      <c r="R21" s="3"/>
      <c r="S21" s="3"/>
    </row>
    <row r="22" spans="4:19" x14ac:dyDescent="0.25">
      <c r="D22" s="56">
        <v>44364.416666666664</v>
      </c>
      <c r="E22" s="56"/>
      <c r="F22" s="3"/>
      <c r="G22" s="3"/>
      <c r="H22" s="3"/>
      <c r="I22" s="3"/>
      <c r="J22" s="3"/>
      <c r="K22" s="3"/>
      <c r="L22" s="2"/>
      <c r="M22" s="2"/>
      <c r="N22" s="2"/>
      <c r="O22" s="2"/>
      <c r="P22" s="2"/>
      <c r="Q22" s="2"/>
      <c r="R22" s="3"/>
      <c r="S22" s="3"/>
    </row>
    <row r="23" spans="4:19" x14ac:dyDescent="0.25">
      <c r="D23" s="56">
        <v>44364.458333333336</v>
      </c>
      <c r="E23" s="56"/>
      <c r="F23" s="3"/>
      <c r="G23" s="3"/>
      <c r="H23" s="3"/>
      <c r="I23" s="3"/>
      <c r="J23" s="3"/>
      <c r="K23" s="3"/>
      <c r="L23" s="2"/>
      <c r="M23" s="2"/>
      <c r="N23" s="2"/>
      <c r="O23" s="2"/>
      <c r="P23" s="2"/>
      <c r="Q23" s="2"/>
      <c r="R23" s="3"/>
      <c r="S23" s="3"/>
    </row>
    <row r="24" spans="4:19" x14ac:dyDescent="0.25">
      <c r="D24" s="56">
        <v>44364.5</v>
      </c>
      <c r="E24" s="56"/>
      <c r="F24" s="3"/>
      <c r="G24" s="3"/>
      <c r="H24" s="3"/>
      <c r="I24" s="3"/>
      <c r="J24" s="3"/>
      <c r="K24" s="3"/>
      <c r="L24" s="2"/>
      <c r="M24" s="2"/>
      <c r="N24" s="2"/>
      <c r="O24" s="2"/>
      <c r="P24" s="2"/>
      <c r="Q24" s="2"/>
      <c r="R24" s="3"/>
      <c r="S24" s="2"/>
    </row>
    <row r="25" spans="4:19" x14ac:dyDescent="0.25">
      <c r="D25" s="56">
        <v>44364.541666666664</v>
      </c>
      <c r="E25" s="56"/>
      <c r="F25" s="3"/>
      <c r="G25" s="3"/>
      <c r="H25" s="3"/>
      <c r="I25" s="3"/>
      <c r="J25" s="3"/>
      <c r="K25" s="3"/>
      <c r="L25" s="2"/>
      <c r="M25" s="2"/>
      <c r="N25" s="2"/>
      <c r="O25" s="2"/>
      <c r="P25" s="2"/>
      <c r="Q25" s="2"/>
      <c r="R25" s="3"/>
      <c r="S25" s="2"/>
    </row>
    <row r="26" spans="4:19" x14ac:dyDescent="0.25">
      <c r="D26" s="56">
        <v>44364.583333333336</v>
      </c>
      <c r="E26" s="56"/>
      <c r="F26" s="3"/>
      <c r="G26" s="3"/>
      <c r="H26" s="3"/>
      <c r="I26" s="3"/>
      <c r="J26" s="3"/>
      <c r="K26" s="3"/>
      <c r="L26" s="2"/>
      <c r="M26" s="2"/>
      <c r="N26" s="2"/>
      <c r="O26" s="2"/>
      <c r="P26" s="2"/>
      <c r="Q26" s="2"/>
      <c r="R26" s="3"/>
      <c r="S26" s="2"/>
    </row>
    <row r="27" spans="4:19" x14ac:dyDescent="0.25">
      <c r="D27" s="56">
        <v>44364.625</v>
      </c>
      <c r="E27" s="56"/>
      <c r="F27" s="3"/>
      <c r="G27" s="3"/>
      <c r="H27" s="3"/>
      <c r="I27" s="3"/>
      <c r="J27" s="3"/>
      <c r="K27" s="3"/>
      <c r="L27" s="2"/>
      <c r="M27" s="2"/>
      <c r="N27" s="2"/>
      <c r="O27" s="2"/>
      <c r="P27" s="2"/>
      <c r="Q27" s="2"/>
      <c r="R27" s="3"/>
      <c r="S27" s="2"/>
    </row>
    <row r="28" spans="4:19" x14ac:dyDescent="0.25">
      <c r="D28" s="56">
        <v>44364.666666666664</v>
      </c>
      <c r="E28" s="56"/>
      <c r="F28" s="3"/>
      <c r="G28" s="3"/>
      <c r="H28" s="3"/>
      <c r="I28" s="3"/>
      <c r="J28" s="3"/>
      <c r="K28" s="3"/>
      <c r="L28" s="2"/>
      <c r="M28" s="2"/>
      <c r="N28" s="2"/>
      <c r="O28" s="2"/>
      <c r="P28" s="2"/>
      <c r="Q28" s="2"/>
      <c r="R28" s="3"/>
      <c r="S28" s="2"/>
    </row>
    <row r="29" spans="4:19" x14ac:dyDescent="0.25">
      <c r="D29" s="56">
        <v>44364.708333333336</v>
      </c>
      <c r="E29" s="56"/>
      <c r="F29" s="3"/>
      <c r="G29" s="3"/>
      <c r="H29" s="3"/>
      <c r="I29" s="3"/>
      <c r="J29" s="3"/>
      <c r="K29" s="3"/>
      <c r="L29" s="2"/>
      <c r="M29" s="2"/>
      <c r="N29" s="2"/>
      <c r="O29" s="2"/>
      <c r="P29" s="2"/>
      <c r="Q29" s="2"/>
      <c r="R29" s="3"/>
      <c r="S29" s="2"/>
    </row>
    <row r="30" spans="4:19" x14ac:dyDescent="0.25">
      <c r="D30" s="56">
        <v>44364.75</v>
      </c>
      <c r="E30" s="56"/>
      <c r="F30" s="3"/>
      <c r="G30" s="3"/>
      <c r="H30" s="3"/>
      <c r="I30" s="3"/>
      <c r="J30" s="3"/>
      <c r="K30" s="3"/>
      <c r="L30" s="2"/>
      <c r="M30" s="2"/>
      <c r="N30" s="2"/>
      <c r="O30" s="2"/>
      <c r="P30" s="2"/>
      <c r="Q30" s="2"/>
      <c r="R30" s="3"/>
      <c r="S30" s="2"/>
    </row>
    <row r="31" spans="4:19" x14ac:dyDescent="0.25">
      <c r="D31" s="56">
        <v>44364.791666666664</v>
      </c>
      <c r="E31" s="56"/>
      <c r="F31" s="3"/>
      <c r="G31" s="3"/>
      <c r="H31" s="3"/>
      <c r="I31" s="3"/>
      <c r="J31" s="3"/>
      <c r="K31" s="3"/>
      <c r="L31" s="2"/>
      <c r="M31" s="2"/>
      <c r="N31" s="2"/>
      <c r="O31" s="2"/>
      <c r="P31" s="2"/>
      <c r="Q31" s="2"/>
      <c r="R31" s="3"/>
      <c r="S31" s="2"/>
    </row>
    <row r="32" spans="4:19" x14ac:dyDescent="0.25">
      <c r="D32" s="56">
        <v>44364.833333333336</v>
      </c>
      <c r="E32" s="56"/>
      <c r="F32" s="3"/>
      <c r="G32" s="3"/>
      <c r="H32" s="3"/>
      <c r="I32" s="3"/>
      <c r="J32" s="3"/>
      <c r="K32" s="3"/>
      <c r="L32" s="2"/>
      <c r="M32" s="2"/>
      <c r="N32" s="2"/>
      <c r="O32" s="2"/>
      <c r="P32" s="2"/>
      <c r="Q32" s="2"/>
      <c r="R32" s="3"/>
      <c r="S32" s="2"/>
    </row>
    <row r="33" spans="4:19" x14ac:dyDescent="0.25">
      <c r="D33" s="56">
        <v>44364.875</v>
      </c>
      <c r="E33" s="56"/>
      <c r="F33" s="3"/>
      <c r="G33" s="3"/>
      <c r="H33" s="3"/>
      <c r="I33" s="3"/>
      <c r="J33" s="3"/>
      <c r="K33" s="3"/>
      <c r="L33" s="2"/>
      <c r="M33" s="2"/>
      <c r="N33" s="2"/>
      <c r="O33" s="2"/>
      <c r="P33" s="2"/>
      <c r="Q33" s="2"/>
      <c r="R33" s="3"/>
      <c r="S33" s="2"/>
    </row>
    <row r="34" spans="4:19" x14ac:dyDescent="0.25">
      <c r="D34" s="56">
        <v>44364.916666666664</v>
      </c>
      <c r="E34" s="56"/>
      <c r="F34" s="3"/>
      <c r="G34" s="3"/>
      <c r="H34" s="3"/>
      <c r="I34" s="3"/>
      <c r="J34" s="3"/>
      <c r="K34" s="3"/>
      <c r="L34" s="2"/>
      <c r="M34" s="2"/>
      <c r="N34" s="2"/>
      <c r="O34" s="2"/>
      <c r="P34" s="2"/>
      <c r="Q34" s="2"/>
      <c r="R34" s="3"/>
      <c r="S34" s="2"/>
    </row>
    <row r="35" spans="4:19" x14ac:dyDescent="0.25">
      <c r="D35" s="56">
        <v>44364.958333333336</v>
      </c>
      <c r="E35" s="56"/>
      <c r="F35" s="3"/>
      <c r="G35" s="3"/>
      <c r="H35" s="3"/>
      <c r="I35" s="3"/>
      <c r="J35" s="3"/>
      <c r="K35" s="3"/>
      <c r="L35" s="2"/>
      <c r="M35" s="2"/>
      <c r="N35" s="2"/>
      <c r="O35" s="2"/>
      <c r="P35" s="2"/>
      <c r="Q35" s="2"/>
      <c r="R35" s="3"/>
      <c r="S35" s="2"/>
    </row>
    <row r="36" spans="4:19" x14ac:dyDescent="0.25">
      <c r="D36" s="102" t="s">
        <v>9</v>
      </c>
      <c r="E36" s="104"/>
      <c r="F36" s="5"/>
      <c r="G36" s="5"/>
      <c r="H36" s="5"/>
      <c r="I36" s="5"/>
      <c r="J36" s="5"/>
      <c r="K36" s="5"/>
      <c r="L36" s="4"/>
      <c r="M36" s="4"/>
      <c r="N36" s="4"/>
      <c r="O36" s="4"/>
      <c r="P36" s="4"/>
      <c r="Q36" s="4"/>
      <c r="R36" s="5"/>
      <c r="S36" s="4">
        <v>0.97048389016903391</v>
      </c>
    </row>
    <row r="37" spans="4:19" x14ac:dyDescent="0.25">
      <c r="D37" s="102" t="s">
        <v>10</v>
      </c>
      <c r="E37" s="104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</row>
    <row r="38" spans="4:19" x14ac:dyDescent="0.25">
      <c r="D38" s="102" t="s">
        <v>69</v>
      </c>
      <c r="E38" s="104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 t="s">
        <v>75</v>
      </c>
    </row>
    <row r="39" spans="4:19" x14ac:dyDescent="0.25">
      <c r="D39" s="102" t="s">
        <v>12</v>
      </c>
      <c r="E39" s="104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>
        <v>0</v>
      </c>
    </row>
    <row r="40" spans="4:19" x14ac:dyDescent="0.25">
      <c r="D40" s="102" t="s">
        <v>13</v>
      </c>
      <c r="E40" s="104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>
        <v>11.17</v>
      </c>
    </row>
  </sheetData>
  <mergeCells count="5">
    <mergeCell ref="D36:E36"/>
    <mergeCell ref="D37:E37"/>
    <mergeCell ref="D38:E38"/>
    <mergeCell ref="D39:E39"/>
    <mergeCell ref="D40:E4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opiarDia">
                <anchor moveWithCells="1" sizeWithCells="1">
                  <from>
                    <xdr:col>2</xdr:col>
                    <xdr:colOff>1752600</xdr:colOff>
                    <xdr:row>3</xdr:row>
                    <xdr:rowOff>9525</xdr:rowOff>
                  </from>
                  <to>
                    <xdr:col>3</xdr:col>
                    <xdr:colOff>1752600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D4:S46"/>
  <sheetViews>
    <sheetView zoomScale="85" zoomScaleNormal="85" workbookViewId="0">
      <selection activeCell="E4" sqref="E4:E11"/>
    </sheetView>
  </sheetViews>
  <sheetFormatPr defaultRowHeight="15" x14ac:dyDescent="0.25"/>
  <cols>
    <col min="4" max="4" width="26.42578125" customWidth="1"/>
    <col min="5" max="5" width="29.7109375" customWidth="1"/>
    <col min="6" max="7" width="17.7109375" customWidth="1"/>
    <col min="8" max="8" width="21.7109375" customWidth="1"/>
    <col min="9" max="34" width="17.7109375" customWidth="1"/>
  </cols>
  <sheetData>
    <row r="4" spans="4:19" x14ac:dyDescent="0.25">
      <c r="E4" s="1" t="s">
        <v>0</v>
      </c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4:19" x14ac:dyDescent="0.25">
      <c r="E5" s="1" t="s">
        <v>1</v>
      </c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4:19" x14ac:dyDescent="0.25">
      <c r="E6" s="1" t="s">
        <v>2</v>
      </c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4:19" x14ac:dyDescent="0.25">
      <c r="E7" s="1" t="s">
        <v>3</v>
      </c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4:19" x14ac:dyDescent="0.25">
      <c r="E8" s="1" t="s">
        <v>4</v>
      </c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4:19" x14ac:dyDescent="0.25">
      <c r="E9" s="1" t="s">
        <v>5</v>
      </c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4:19" x14ac:dyDescent="0.25">
      <c r="E10" s="1" t="s">
        <v>6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4:19" x14ac:dyDescent="0.25">
      <c r="E11" s="1" t="s">
        <v>7</v>
      </c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4:19" x14ac:dyDescent="0.25">
      <c r="D12" s="56"/>
      <c r="E12" s="56"/>
      <c r="F12" s="3"/>
      <c r="G12" s="3"/>
      <c r="H12" s="3"/>
      <c r="I12" s="3"/>
      <c r="J12" s="3"/>
      <c r="K12" s="3"/>
      <c r="L12" s="2"/>
      <c r="M12" s="2"/>
      <c r="N12" s="2"/>
      <c r="O12" s="2"/>
      <c r="P12" s="2"/>
      <c r="Q12" s="2"/>
      <c r="R12" s="3"/>
      <c r="S12" s="2"/>
    </row>
    <row r="13" spans="4:19" x14ac:dyDescent="0.25">
      <c r="D13" s="56"/>
      <c r="E13" s="56"/>
      <c r="F13" s="3"/>
      <c r="G13" s="3"/>
      <c r="H13" s="3"/>
      <c r="I13" s="3"/>
      <c r="J13" s="3"/>
      <c r="K13" s="3"/>
      <c r="L13" s="2"/>
      <c r="M13" s="2"/>
      <c r="N13" s="2"/>
      <c r="O13" s="2"/>
      <c r="P13" s="2"/>
      <c r="Q13" s="2"/>
      <c r="R13" s="3"/>
      <c r="S13" s="2"/>
    </row>
    <row r="14" spans="4:19" x14ac:dyDescent="0.25">
      <c r="D14" s="56"/>
      <c r="E14" s="56"/>
      <c r="F14" s="3"/>
      <c r="G14" s="3"/>
      <c r="H14" s="3"/>
      <c r="I14" s="3"/>
      <c r="J14" s="3"/>
      <c r="K14" s="3"/>
      <c r="L14" s="2"/>
      <c r="M14" s="2"/>
      <c r="N14" s="2"/>
      <c r="O14" s="2"/>
      <c r="P14" s="2"/>
      <c r="Q14" s="2"/>
      <c r="R14" s="3"/>
      <c r="S14" s="2"/>
    </row>
    <row r="15" spans="4:19" x14ac:dyDescent="0.25">
      <c r="D15" s="56"/>
      <c r="E15" s="56"/>
      <c r="F15" s="3"/>
      <c r="G15" s="3"/>
      <c r="H15" s="3"/>
      <c r="I15" s="3"/>
      <c r="J15" s="3"/>
      <c r="K15" s="3"/>
      <c r="L15" s="2"/>
      <c r="M15" s="2"/>
      <c r="N15" s="2"/>
      <c r="O15" s="2"/>
      <c r="P15" s="2"/>
      <c r="Q15" s="2"/>
      <c r="R15" s="3"/>
      <c r="S15" s="2"/>
    </row>
    <row r="16" spans="4:19" x14ac:dyDescent="0.25">
      <c r="D16" s="56"/>
      <c r="E16" s="56"/>
      <c r="F16" s="3"/>
      <c r="G16" s="3"/>
      <c r="H16" s="3"/>
      <c r="I16" s="3"/>
      <c r="J16" s="3"/>
      <c r="K16" s="3"/>
      <c r="L16" s="2"/>
      <c r="M16" s="2"/>
      <c r="N16" s="2"/>
      <c r="O16" s="2"/>
      <c r="P16" s="2"/>
      <c r="Q16" s="2"/>
      <c r="R16" s="3"/>
      <c r="S16" s="3"/>
    </row>
    <row r="17" spans="4:19" x14ac:dyDescent="0.25">
      <c r="D17" s="56"/>
      <c r="E17" s="56"/>
      <c r="F17" s="3"/>
      <c r="G17" s="3"/>
      <c r="H17" s="3"/>
      <c r="I17" s="3"/>
      <c r="J17" s="3"/>
      <c r="K17" s="3"/>
      <c r="L17" s="2"/>
      <c r="M17" s="2"/>
      <c r="N17" s="2"/>
      <c r="O17" s="2"/>
      <c r="P17" s="2"/>
      <c r="Q17" s="2"/>
      <c r="R17" s="3"/>
      <c r="S17" s="2"/>
    </row>
    <row r="18" spans="4:19" x14ac:dyDescent="0.25">
      <c r="D18" s="56"/>
      <c r="E18" s="56"/>
      <c r="F18" s="3"/>
      <c r="G18" s="3"/>
      <c r="H18" s="3"/>
      <c r="I18" s="3"/>
      <c r="J18" s="3"/>
      <c r="K18" s="3"/>
      <c r="L18" s="2"/>
      <c r="M18" s="2"/>
      <c r="N18" s="2"/>
      <c r="O18" s="2"/>
      <c r="P18" s="2"/>
      <c r="Q18" s="2"/>
      <c r="R18" s="3"/>
      <c r="S18" s="2"/>
    </row>
    <row r="19" spans="4:19" x14ac:dyDescent="0.25">
      <c r="D19" s="56"/>
      <c r="E19" s="56"/>
      <c r="F19" s="3"/>
      <c r="G19" s="3"/>
      <c r="H19" s="3"/>
      <c r="I19" s="3"/>
      <c r="J19" s="3"/>
      <c r="K19" s="3"/>
      <c r="L19" s="2"/>
      <c r="M19" s="2"/>
      <c r="N19" s="2"/>
      <c r="O19" s="2"/>
      <c r="P19" s="2"/>
      <c r="Q19" s="2"/>
      <c r="R19" s="3"/>
      <c r="S19" s="2"/>
    </row>
    <row r="20" spans="4:19" x14ac:dyDescent="0.25">
      <c r="D20" s="56"/>
      <c r="E20" s="56"/>
      <c r="F20" s="3"/>
      <c r="G20" s="3"/>
      <c r="H20" s="3"/>
      <c r="I20" s="3"/>
      <c r="J20" s="3"/>
      <c r="K20" s="3"/>
      <c r="L20" s="2"/>
      <c r="M20" s="2"/>
      <c r="N20" s="2"/>
      <c r="O20" s="2"/>
      <c r="P20" s="2"/>
      <c r="Q20" s="2"/>
      <c r="R20" s="3"/>
      <c r="S20" s="2"/>
    </row>
    <row r="21" spans="4:19" x14ac:dyDescent="0.25">
      <c r="D21" s="56"/>
      <c r="E21" s="56"/>
      <c r="F21" s="3"/>
      <c r="G21" s="3"/>
      <c r="H21" s="3"/>
      <c r="I21" s="3"/>
      <c r="J21" s="3"/>
      <c r="K21" s="3"/>
      <c r="L21" s="2"/>
      <c r="M21" s="2"/>
      <c r="N21" s="2"/>
      <c r="O21" s="2"/>
      <c r="P21" s="2"/>
      <c r="Q21" s="2"/>
      <c r="R21" s="3"/>
      <c r="S21" s="2"/>
    </row>
    <row r="22" spans="4:19" x14ac:dyDescent="0.25">
      <c r="D22" s="56"/>
      <c r="E22" s="56"/>
      <c r="F22" s="3"/>
      <c r="G22" s="3"/>
      <c r="H22" s="3"/>
      <c r="I22" s="3"/>
      <c r="J22" s="3"/>
      <c r="K22" s="3"/>
      <c r="L22" s="2"/>
      <c r="M22" s="2"/>
      <c r="N22" s="2"/>
      <c r="O22" s="2"/>
      <c r="P22" s="2"/>
      <c r="Q22" s="2"/>
      <c r="R22" s="3"/>
      <c r="S22" s="2"/>
    </row>
    <row r="23" spans="4:19" x14ac:dyDescent="0.25">
      <c r="D23" s="56"/>
      <c r="E23" s="56"/>
      <c r="F23" s="3"/>
      <c r="G23" s="3"/>
      <c r="H23" s="3"/>
      <c r="I23" s="3"/>
      <c r="J23" s="3"/>
      <c r="K23" s="3"/>
      <c r="L23" s="2"/>
      <c r="M23" s="2"/>
      <c r="N23" s="2"/>
      <c r="O23" s="2"/>
      <c r="P23" s="2"/>
      <c r="Q23" s="2"/>
      <c r="R23" s="3"/>
      <c r="S23" s="2"/>
    </row>
    <row r="24" spans="4:19" x14ac:dyDescent="0.25">
      <c r="D24" s="56"/>
      <c r="E24" s="56"/>
      <c r="F24" s="3"/>
      <c r="G24" s="3"/>
      <c r="H24" s="3"/>
      <c r="I24" s="3"/>
      <c r="J24" s="3"/>
      <c r="K24" s="3"/>
      <c r="L24" s="2"/>
      <c r="M24" s="2"/>
      <c r="N24" s="2"/>
      <c r="O24" s="2"/>
      <c r="P24" s="2"/>
      <c r="Q24" s="2"/>
      <c r="R24" s="3"/>
      <c r="S24" s="2"/>
    </row>
    <row r="25" spans="4:19" x14ac:dyDescent="0.25">
      <c r="D25" s="56"/>
      <c r="E25" s="56"/>
      <c r="F25" s="3"/>
      <c r="G25" s="3"/>
      <c r="H25" s="3"/>
      <c r="I25" s="3"/>
      <c r="J25" s="3"/>
      <c r="K25" s="3"/>
      <c r="L25" s="2"/>
      <c r="M25" s="2"/>
      <c r="N25" s="2"/>
      <c r="O25" s="2"/>
      <c r="P25" s="2"/>
      <c r="Q25" s="2"/>
      <c r="R25" s="3"/>
      <c r="S25" s="3"/>
    </row>
    <row r="26" spans="4:19" x14ac:dyDescent="0.25">
      <c r="D26" s="56"/>
      <c r="E26" s="56"/>
      <c r="F26" s="3"/>
      <c r="G26" s="3"/>
      <c r="H26" s="3"/>
      <c r="I26" s="3"/>
      <c r="J26" s="3"/>
      <c r="K26" s="3"/>
      <c r="L26" s="2"/>
      <c r="M26" s="2"/>
      <c r="N26" s="2"/>
      <c r="O26" s="2"/>
      <c r="P26" s="2"/>
      <c r="Q26" s="2"/>
      <c r="R26" s="3"/>
      <c r="S26" s="2"/>
    </row>
    <row r="27" spans="4:19" x14ac:dyDescent="0.25">
      <c r="D27" s="56"/>
      <c r="E27" s="56"/>
      <c r="F27" s="3"/>
      <c r="G27" s="3"/>
      <c r="H27" s="3"/>
      <c r="I27" s="3"/>
      <c r="J27" s="3"/>
      <c r="K27" s="3"/>
      <c r="L27" s="2"/>
      <c r="M27" s="2"/>
      <c r="N27" s="2"/>
      <c r="O27" s="2"/>
      <c r="P27" s="2"/>
      <c r="Q27" s="2"/>
      <c r="R27" s="3"/>
      <c r="S27" s="2"/>
    </row>
    <row r="28" spans="4:19" x14ac:dyDescent="0.25">
      <c r="D28" s="56"/>
      <c r="E28" s="56"/>
      <c r="F28" s="3"/>
      <c r="G28" s="3"/>
      <c r="H28" s="3"/>
      <c r="I28" s="3"/>
      <c r="J28" s="3"/>
      <c r="K28" s="3"/>
      <c r="L28" s="2"/>
      <c r="M28" s="2"/>
      <c r="N28" s="2"/>
      <c r="O28" s="2"/>
      <c r="P28" s="2"/>
      <c r="Q28" s="2"/>
      <c r="R28" s="3"/>
      <c r="S28" s="2"/>
    </row>
    <row r="29" spans="4:19" x14ac:dyDescent="0.25">
      <c r="D29" s="56"/>
      <c r="E29" s="56"/>
      <c r="F29" s="3"/>
      <c r="G29" s="3"/>
      <c r="H29" s="3"/>
      <c r="I29" s="3"/>
      <c r="J29" s="3"/>
      <c r="K29" s="3"/>
      <c r="L29" s="2"/>
      <c r="M29" s="2"/>
      <c r="N29" s="2"/>
      <c r="O29" s="2"/>
      <c r="P29" s="2"/>
      <c r="Q29" s="2"/>
      <c r="R29" s="3"/>
      <c r="S29" s="2"/>
    </row>
    <row r="30" spans="4:19" x14ac:dyDescent="0.25">
      <c r="D30" s="56"/>
      <c r="E30" s="56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</row>
    <row r="31" spans="4:19" x14ac:dyDescent="0.25">
      <c r="D31" s="56"/>
      <c r="E31" s="56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</row>
    <row r="32" spans="4:19" x14ac:dyDescent="0.25">
      <c r="D32" s="56"/>
      <c r="E32" s="56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</row>
    <row r="33" spans="4:19" x14ac:dyDescent="0.25">
      <c r="D33" s="56"/>
      <c r="E33" s="56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</row>
    <row r="34" spans="4:19" x14ac:dyDescent="0.25">
      <c r="D34" s="56"/>
      <c r="E34" s="56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</row>
    <row r="35" spans="4:19" x14ac:dyDescent="0.25">
      <c r="D35" s="56"/>
      <c r="E35" s="56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</row>
    <row r="36" spans="4:19" x14ac:dyDescent="0.25">
      <c r="D36" s="56"/>
      <c r="E36" s="56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</row>
    <row r="37" spans="4:19" x14ac:dyDescent="0.25">
      <c r="D37" s="56"/>
      <c r="E37" s="56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</row>
    <row r="38" spans="4:19" x14ac:dyDescent="0.25">
      <c r="D38" s="56"/>
      <c r="E38" s="56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</row>
    <row r="39" spans="4:19" x14ac:dyDescent="0.25">
      <c r="D39" s="56"/>
      <c r="E39" s="56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</row>
    <row r="40" spans="4:19" x14ac:dyDescent="0.25">
      <c r="D40" s="56"/>
      <c r="E40" s="56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</row>
    <row r="41" spans="4:19" x14ac:dyDescent="0.25">
      <c r="D41" s="56"/>
      <c r="E41" s="56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</row>
    <row r="42" spans="4:19" x14ac:dyDescent="0.25">
      <c r="D42" s="102" t="s">
        <v>9</v>
      </c>
      <c r="E42" s="104"/>
      <c r="F42" s="5"/>
      <c r="G42" s="5"/>
      <c r="H42" s="5"/>
      <c r="I42" s="5"/>
      <c r="J42" s="5"/>
      <c r="K42" s="5"/>
      <c r="L42" s="4"/>
      <c r="M42" s="4"/>
      <c r="N42" s="4"/>
      <c r="O42" s="4"/>
      <c r="P42" s="4"/>
      <c r="Q42" s="4"/>
      <c r="R42" s="5"/>
      <c r="S42" s="4"/>
    </row>
    <row r="43" spans="4:19" x14ac:dyDescent="0.25">
      <c r="D43" s="102" t="s">
        <v>10</v>
      </c>
      <c r="E43" s="104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</row>
    <row r="44" spans="4:19" x14ac:dyDescent="0.25">
      <c r="D44" s="102" t="s">
        <v>69</v>
      </c>
      <c r="E44" s="104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</row>
    <row r="45" spans="4:19" x14ac:dyDescent="0.25">
      <c r="D45" s="102" t="s">
        <v>12</v>
      </c>
      <c r="E45" s="104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</row>
    <row r="46" spans="4:19" x14ac:dyDescent="0.25">
      <c r="D46" s="102" t="s">
        <v>13</v>
      </c>
      <c r="E46" s="104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</row>
  </sheetData>
  <mergeCells count="5">
    <mergeCell ref="D42:E42"/>
    <mergeCell ref="D45:E45"/>
    <mergeCell ref="D46:E46"/>
    <mergeCell ref="D43:E43"/>
    <mergeCell ref="D44:E4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opiarMes">
                <anchor moveWithCells="1" sizeWithCells="1">
                  <from>
                    <xdr:col>3</xdr:col>
                    <xdr:colOff>9525</xdr:colOff>
                    <xdr:row>2</xdr:row>
                    <xdr:rowOff>180975</xdr:rowOff>
                  </from>
                  <to>
                    <xdr:col>3</xdr:col>
                    <xdr:colOff>1752600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D4:S29"/>
  <sheetViews>
    <sheetView workbookViewId="0">
      <selection activeCell="G21" sqref="G21"/>
    </sheetView>
  </sheetViews>
  <sheetFormatPr defaultRowHeight="15" x14ac:dyDescent="0.25"/>
  <cols>
    <col min="4" max="4" width="26.42578125" customWidth="1"/>
    <col min="5" max="5" width="29.7109375" customWidth="1"/>
    <col min="6" max="7" width="17.7109375" customWidth="1"/>
    <col min="8" max="8" width="21.7109375" customWidth="1"/>
    <col min="9" max="19" width="17.7109375" customWidth="1"/>
  </cols>
  <sheetData>
    <row r="4" spans="4:19" x14ac:dyDescent="0.25">
      <c r="E4" s="1" t="s">
        <v>0</v>
      </c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4:19" x14ac:dyDescent="0.25">
      <c r="E5" s="1" t="s">
        <v>1</v>
      </c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4:19" x14ac:dyDescent="0.25">
      <c r="E6" s="1" t="s">
        <v>2</v>
      </c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4:19" x14ac:dyDescent="0.25">
      <c r="E7" s="1" t="s">
        <v>3</v>
      </c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4:19" x14ac:dyDescent="0.25">
      <c r="E8" s="1" t="s">
        <v>4</v>
      </c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4:19" x14ac:dyDescent="0.25">
      <c r="E9" s="1" t="s">
        <v>5</v>
      </c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4:19" x14ac:dyDescent="0.25">
      <c r="E10" s="1" t="s">
        <v>6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4:19" x14ac:dyDescent="0.25">
      <c r="E11" s="1" t="s">
        <v>7</v>
      </c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4:19" x14ac:dyDescent="0.25">
      <c r="D12" s="6">
        <v>44197</v>
      </c>
      <c r="E12" s="6">
        <v>44228</v>
      </c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3"/>
      <c r="S12" s="2"/>
    </row>
    <row r="13" spans="4:19" x14ac:dyDescent="0.25">
      <c r="D13" s="6">
        <v>44228</v>
      </c>
      <c r="E13" s="6">
        <v>44256</v>
      </c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</row>
    <row r="14" spans="4:19" x14ac:dyDescent="0.25">
      <c r="D14" s="6">
        <v>44256</v>
      </c>
      <c r="E14" s="6">
        <v>44287</v>
      </c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3"/>
      <c r="S14" s="2"/>
    </row>
    <row r="15" spans="4:19" x14ac:dyDescent="0.25">
      <c r="D15" s="6">
        <v>44287</v>
      </c>
      <c r="E15" s="6">
        <v>44317</v>
      </c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3"/>
      <c r="S15" s="2"/>
    </row>
    <row r="16" spans="4:19" x14ac:dyDescent="0.25">
      <c r="D16" s="6">
        <v>44317</v>
      </c>
      <c r="E16" s="6">
        <v>44348</v>
      </c>
      <c r="F16" s="3"/>
      <c r="G16" s="2"/>
      <c r="H16" s="2"/>
      <c r="I16" s="2"/>
      <c r="J16" s="2"/>
      <c r="K16" s="2"/>
      <c r="L16" s="3"/>
      <c r="M16" s="3"/>
      <c r="N16" s="3"/>
      <c r="O16" s="3"/>
      <c r="P16" s="3"/>
      <c r="Q16" s="3"/>
      <c r="R16" s="3"/>
      <c r="S16" s="2"/>
    </row>
    <row r="17" spans="4:19" x14ac:dyDescent="0.25">
      <c r="D17" s="102" t="s">
        <v>9</v>
      </c>
      <c r="E17" s="10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</row>
    <row r="18" spans="4:19" x14ac:dyDescent="0.25">
      <c r="D18" s="102" t="s">
        <v>10</v>
      </c>
      <c r="E18" s="104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</row>
    <row r="19" spans="4:19" x14ac:dyDescent="0.25">
      <c r="D19" s="102" t="s">
        <v>69</v>
      </c>
      <c r="E19" s="104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</row>
    <row r="20" spans="4:19" x14ac:dyDescent="0.25">
      <c r="D20" s="102" t="s">
        <v>12</v>
      </c>
      <c r="E20" s="104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</row>
    <row r="21" spans="4:19" x14ac:dyDescent="0.25">
      <c r="D21" s="102" t="s">
        <v>13</v>
      </c>
      <c r="E21" s="104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</row>
    <row r="22" spans="4:19" x14ac:dyDescent="0.25">
      <c r="D22" s="102" t="s">
        <v>14</v>
      </c>
      <c r="E22" s="104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</row>
    <row r="29" spans="4:19" x14ac:dyDescent="0.25"/>
  </sheetData>
  <mergeCells count="6">
    <mergeCell ref="D17:E17"/>
    <mergeCell ref="D22:E22"/>
    <mergeCell ref="D21:E21"/>
    <mergeCell ref="D20:E20"/>
    <mergeCell ref="D19:E19"/>
    <mergeCell ref="D18:E1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CopiarAno">
                <anchor moveWithCells="1" sizeWithCells="1">
                  <from>
                    <xdr:col>3</xdr:col>
                    <xdr:colOff>19050</xdr:colOff>
                    <xdr:row>3</xdr:row>
                    <xdr:rowOff>9525</xdr:rowOff>
                  </from>
                  <to>
                    <xdr:col>3</xdr:col>
                    <xdr:colOff>1752600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10</vt:i4>
      </vt:variant>
    </vt:vector>
  </HeadingPairs>
  <TitlesOfParts>
    <vt:vector size="10" baseType="lpstr">
      <vt:lpstr>Dashboard Emissões</vt:lpstr>
      <vt:lpstr>Dashboard SO3</vt:lpstr>
      <vt:lpstr>SO3</vt:lpstr>
      <vt:lpstr>Aux Graficos</vt:lpstr>
      <vt:lpstr>Flash</vt:lpstr>
      <vt:lpstr>Aux Anual</vt:lpstr>
      <vt:lpstr>Base de Dados</vt:lpstr>
      <vt:lpstr>Base Média Dia</vt:lpstr>
      <vt:lpstr>Base Média Mes</vt:lpstr>
      <vt:lpstr>Base Média Ano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2021-06-19T14:15:24Z</dcterms:modified>
</cp:coreProperties>
</file>